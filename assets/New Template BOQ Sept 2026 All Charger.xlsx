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rtono\Master BOQ VGreen\"/>
    </mc:Choice>
  </mc:AlternateContent>
  <xr:revisionPtr revIDLastSave="0" documentId="13_ncr:1_{3505EB3A-839C-4C2A-900B-2C64E911914A}" xr6:coauthVersionLast="47" xr6:coauthVersionMax="47" xr10:uidLastSave="{00000000-0000-0000-0000-000000000000}"/>
  <bookViews>
    <workbookView xWindow="-98" yWindow="-98" windowWidth="19396" windowHeight="11475" firstSheet="7" activeTab="9" xr2:uid="{84A2494B-0B6E-4413-A838-7E05AF24F7FD}"/>
  </bookViews>
  <sheets>
    <sheet name="DC20 (NON JAVA)" sheetId="2" r:id="rId1"/>
    <sheet name="DC30 (NON JAVA)" sheetId="3" r:id="rId2"/>
    <sheet name="DC60 (NON JAVA)" sheetId="4" r:id="rId3"/>
    <sheet name="DC20" sheetId="5" r:id="rId4"/>
    <sheet name="DC30" sheetId="6" r:id="rId5"/>
    <sheet name="DC60" sheetId="7" r:id="rId6"/>
    <sheet name="6S1P" sheetId="11" r:id="rId7"/>
    <sheet name="12S1P" sheetId="12" r:id="rId8"/>
    <sheet name="12S3P" sheetId="13" r:id="rId9"/>
    <sheet name="6S1P (NON JAVA)" sheetId="14" r:id="rId10"/>
    <sheet name="12S1P (NON JAVA)" sheetId="15" r:id="rId11"/>
    <sheet name="12S3P (NON JAVA)" sheetId="16" r:id="rId12"/>
  </sheets>
  <externalReferences>
    <externalReference r:id="rId13"/>
    <externalReference r:id="rId14"/>
  </externalReferences>
  <definedNames>
    <definedName name="_xlnm.Print_Area" localSheetId="3">'DC20'!$A$1:$H$58</definedName>
    <definedName name="_xlnm.Print_Area" localSheetId="0">'DC20 (NON JAVA)'!$A$1:$H$58</definedName>
    <definedName name="_xlnm.Print_Area" localSheetId="4">'DC30'!$A$1:$H$58</definedName>
    <definedName name="_xlnm.Print_Area" localSheetId="1">'DC30 (NON JAVA)'!$A$1:$H$60</definedName>
    <definedName name="_xlnm.Print_Area" localSheetId="5">'DC60'!$A$1:$H$57</definedName>
    <definedName name="_xlnm.Print_Area" localSheetId="2">'DC60 (NON JAVA)'!$A$1:$H$57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/>
  <c r="G10" i="16"/>
  <c r="G8" i="16" s="1"/>
  <c r="G36" i="16" s="1"/>
  <c r="G11" i="16"/>
  <c r="G12" i="16"/>
  <c r="G14" i="16"/>
  <c r="G13" i="16" s="1"/>
  <c r="G15" i="16"/>
  <c r="G17" i="16"/>
  <c r="G18" i="16"/>
  <c r="G21" i="16"/>
  <c r="G20" i="16" s="1"/>
  <c r="G22" i="16"/>
  <c r="G23" i="16"/>
  <c r="G24" i="16"/>
  <c r="G25" i="16"/>
  <c r="G27" i="16"/>
  <c r="G29" i="16"/>
  <c r="G8" i="15"/>
  <c r="G9" i="15"/>
  <c r="G10" i="15"/>
  <c r="G11" i="15"/>
  <c r="G12" i="15"/>
  <c r="G13" i="15"/>
  <c r="G14" i="15"/>
  <c r="G15" i="15"/>
  <c r="G18" i="15"/>
  <c r="G17" i="15" s="1"/>
  <c r="G21" i="15"/>
  <c r="G20" i="15" s="1"/>
  <c r="G22" i="15"/>
  <c r="G23" i="15"/>
  <c r="G24" i="15"/>
  <c r="G25" i="15"/>
  <c r="G27" i="15"/>
  <c r="G28" i="15"/>
  <c r="G9" i="14"/>
  <c r="G8" i="14" s="1"/>
  <c r="G35" i="14" s="1"/>
  <c r="G10" i="14"/>
  <c r="G11" i="14"/>
  <c r="G12" i="14"/>
  <c r="G14" i="14"/>
  <c r="G13" i="14" s="1"/>
  <c r="G15" i="14"/>
  <c r="G18" i="14"/>
  <c r="G17" i="14" s="1"/>
  <c r="G21" i="14"/>
  <c r="G20" i="14" s="1"/>
  <c r="G22" i="14"/>
  <c r="G23" i="14"/>
  <c r="G24" i="14"/>
  <c r="G25" i="14"/>
  <c r="G27" i="14"/>
  <c r="G28" i="14"/>
  <c r="G35" i="15" l="1"/>
  <c r="G9" i="13"/>
  <c r="G8" i="13" s="1"/>
  <c r="G36" i="13" s="1"/>
  <c r="G10" i="13"/>
  <c r="G11" i="13"/>
  <c r="G12" i="13"/>
  <c r="G14" i="13"/>
  <c r="G13" i="13" s="1"/>
  <c r="G15" i="13"/>
  <c r="G17" i="13"/>
  <c r="G18" i="13"/>
  <c r="G21" i="13"/>
  <c r="G20" i="13" s="1"/>
  <c r="G22" i="13"/>
  <c r="G23" i="13"/>
  <c r="G24" i="13"/>
  <c r="G25" i="13"/>
  <c r="G27" i="13"/>
  <c r="G29" i="13"/>
  <c r="G9" i="12"/>
  <c r="G8" i="12" s="1"/>
  <c r="G10" i="12"/>
  <c r="G11" i="12"/>
  <c r="G12" i="12"/>
  <c r="G13" i="12"/>
  <c r="G14" i="12"/>
  <c r="G15" i="12"/>
  <c r="G17" i="12"/>
  <c r="G18" i="12"/>
  <c r="G21" i="12"/>
  <c r="G20" i="12" s="1"/>
  <c r="G22" i="12"/>
  <c r="G23" i="12"/>
  <c r="G24" i="12"/>
  <c r="G25" i="12"/>
  <c r="G27" i="12"/>
  <c r="G28" i="12"/>
  <c r="G8" i="11"/>
  <c r="G9" i="11"/>
  <c r="G10" i="11"/>
  <c r="G11" i="11"/>
  <c r="G12" i="11"/>
  <c r="G14" i="11"/>
  <c r="G13" i="11" s="1"/>
  <c r="G15" i="11"/>
  <c r="G17" i="11"/>
  <c r="G18" i="11"/>
  <c r="G21" i="11"/>
  <c r="G20" i="11" s="1"/>
  <c r="G22" i="11"/>
  <c r="G23" i="11"/>
  <c r="G24" i="11"/>
  <c r="G25" i="11"/>
  <c r="G27" i="11"/>
  <c r="G28" i="11"/>
  <c r="H29" i="11"/>
  <c r="G35" i="12" l="1"/>
  <c r="G36" i="12" s="1"/>
  <c r="G35" i="11"/>
  <c r="G56" i="7" l="1"/>
  <c r="H56" i="7" s="1"/>
  <c r="G55" i="7"/>
  <c r="H55" i="7" s="1"/>
  <c r="G54" i="7"/>
  <c r="D54" i="7"/>
  <c r="G53" i="7"/>
  <c r="G52" i="7"/>
  <c r="D52" i="7"/>
  <c r="D53" i="7" s="1"/>
  <c r="H51" i="7"/>
  <c r="G50" i="7"/>
  <c r="H50" i="7" s="1"/>
  <c r="G49" i="7"/>
  <c r="H49" i="7" s="1"/>
  <c r="G48" i="7"/>
  <c r="H48" i="7" s="1"/>
  <c r="G46" i="7"/>
  <c r="H46" i="7" s="1"/>
  <c r="G45" i="7"/>
  <c r="H45" i="7" s="1"/>
  <c r="H44" i="7" s="1"/>
  <c r="H43" i="7"/>
  <c r="H42" i="7"/>
  <c r="G41" i="7"/>
  <c r="H41" i="7" s="1"/>
  <c r="H40" i="7" s="1"/>
  <c r="G39" i="7"/>
  <c r="H39" i="7" s="1"/>
  <c r="G38" i="7"/>
  <c r="H38" i="7" s="1"/>
  <c r="G36" i="7"/>
  <c r="H36" i="7" s="1"/>
  <c r="G35" i="7"/>
  <c r="H35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3" i="7"/>
  <c r="D23" i="7"/>
  <c r="G22" i="7"/>
  <c r="D22" i="7"/>
  <c r="H22" i="7" s="1"/>
  <c r="G21" i="7"/>
  <c r="H21" i="7" s="1"/>
  <c r="G20" i="7"/>
  <c r="H20" i="7" s="1"/>
  <c r="G19" i="7"/>
  <c r="D19" i="7"/>
  <c r="G18" i="7"/>
  <c r="D18" i="7"/>
  <c r="G17" i="7"/>
  <c r="G16" i="7"/>
  <c r="G15" i="7"/>
  <c r="G14" i="7"/>
  <c r="D14" i="7"/>
  <c r="D16" i="7" s="1"/>
  <c r="H11" i="7"/>
  <c r="G10" i="7"/>
  <c r="H10" i="7" s="1"/>
  <c r="G9" i="7"/>
  <c r="H9" i="7" s="1"/>
  <c r="G8" i="7"/>
  <c r="H8" i="7" s="1"/>
  <c r="G57" i="6"/>
  <c r="H57" i="6" s="1"/>
  <c r="G56" i="6"/>
  <c r="H56" i="6" s="1"/>
  <c r="G55" i="6"/>
  <c r="D55" i="6"/>
  <c r="H55" i="6" s="1"/>
  <c r="G54" i="6"/>
  <c r="G53" i="6"/>
  <c r="D53" i="6"/>
  <c r="H53" i="6" s="1"/>
  <c r="H52" i="6"/>
  <c r="G51" i="6"/>
  <c r="H51" i="6" s="1"/>
  <c r="G50" i="6"/>
  <c r="H50" i="6" s="1"/>
  <c r="G49" i="6"/>
  <c r="H49" i="6" s="1"/>
  <c r="G47" i="6"/>
  <c r="H47" i="6" s="1"/>
  <c r="G46" i="6"/>
  <c r="H46" i="6" s="1"/>
  <c r="H44" i="6"/>
  <c r="H43" i="6" s="1"/>
  <c r="G42" i="6"/>
  <c r="H42" i="6" s="1"/>
  <c r="H41" i="6" s="1"/>
  <c r="G40" i="6"/>
  <c r="H40" i="6" s="1"/>
  <c r="G39" i="6"/>
  <c r="H39" i="6" s="1"/>
  <c r="G37" i="6"/>
  <c r="H37" i="6" s="1"/>
  <c r="G36" i="6"/>
  <c r="H36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4" i="6"/>
  <c r="D24" i="6"/>
  <c r="H24" i="6" s="1"/>
  <c r="G23" i="6"/>
  <c r="D23" i="6"/>
  <c r="G22" i="6"/>
  <c r="H22" i="6" s="1"/>
  <c r="G21" i="6"/>
  <c r="H21" i="6" s="1"/>
  <c r="G20" i="6"/>
  <c r="D20" i="6"/>
  <c r="G19" i="6"/>
  <c r="H19" i="6" s="1"/>
  <c r="G18" i="6"/>
  <c r="H18" i="6" s="1"/>
  <c r="G17" i="6"/>
  <c r="G16" i="6"/>
  <c r="G15" i="6"/>
  <c r="D15" i="6"/>
  <c r="D16" i="6" s="1"/>
  <c r="H12" i="6"/>
  <c r="G11" i="6"/>
  <c r="H11" i="6" s="1"/>
  <c r="G10" i="6"/>
  <c r="H10" i="6" s="1"/>
  <c r="G9" i="6"/>
  <c r="H9" i="6" s="1"/>
  <c r="G57" i="5"/>
  <c r="H57" i="5" s="1"/>
  <c r="G56" i="5"/>
  <c r="H56" i="5" s="1"/>
  <c r="G55" i="5"/>
  <c r="D55" i="5"/>
  <c r="G54" i="5"/>
  <c r="G53" i="5"/>
  <c r="D53" i="5"/>
  <c r="H53" i="5" s="1"/>
  <c r="H52" i="5"/>
  <c r="G51" i="5"/>
  <c r="H51" i="5" s="1"/>
  <c r="G50" i="5"/>
  <c r="H50" i="5" s="1"/>
  <c r="G49" i="5"/>
  <c r="H49" i="5" s="1"/>
  <c r="G47" i="5"/>
  <c r="H47" i="5" s="1"/>
  <c r="G46" i="5"/>
  <c r="H46" i="5" s="1"/>
  <c r="H44" i="5"/>
  <c r="G42" i="5"/>
  <c r="H42" i="5" s="1"/>
  <c r="G40" i="5"/>
  <c r="H40" i="5" s="1"/>
  <c r="G39" i="5"/>
  <c r="H39" i="5" s="1"/>
  <c r="G37" i="5"/>
  <c r="H37" i="5" s="1"/>
  <c r="G36" i="5"/>
  <c r="D36" i="5"/>
  <c r="G34" i="5"/>
  <c r="H34" i="5" s="1"/>
  <c r="G33" i="5"/>
  <c r="H33" i="5" s="1"/>
  <c r="G32" i="5"/>
  <c r="H32" i="5" s="1"/>
  <c r="G31" i="5"/>
  <c r="H31" i="5" s="1"/>
  <c r="G30" i="5"/>
  <c r="H30" i="5" s="1"/>
  <c r="G29" i="5"/>
  <c r="H29" i="5" s="1"/>
  <c r="G28" i="5"/>
  <c r="H28" i="5" s="1"/>
  <c r="G27" i="5"/>
  <c r="H27" i="5" s="1"/>
  <c r="G26" i="5"/>
  <c r="H26" i="5" s="1"/>
  <c r="G24" i="5"/>
  <c r="H24" i="5" s="1"/>
  <c r="G23" i="5"/>
  <c r="H23" i="5" s="1"/>
  <c r="G22" i="5"/>
  <c r="H22" i="5" s="1"/>
  <c r="G21" i="5"/>
  <c r="H21" i="5" s="1"/>
  <c r="G20" i="5"/>
  <c r="H20" i="5" s="1"/>
  <c r="G19" i="5"/>
  <c r="H19" i="5" s="1"/>
  <c r="G18" i="5"/>
  <c r="D18" i="5"/>
  <c r="G17" i="5"/>
  <c r="H17" i="5" s="1"/>
  <c r="G16" i="5"/>
  <c r="H16" i="5" s="1"/>
  <c r="G15" i="5"/>
  <c r="H15" i="5" s="1"/>
  <c r="H12" i="5"/>
  <c r="G11" i="5"/>
  <c r="H11" i="5" s="1"/>
  <c r="G10" i="5"/>
  <c r="H10" i="5" s="1"/>
  <c r="G9" i="5"/>
  <c r="H9" i="5" s="1"/>
  <c r="H36" i="5" l="1"/>
  <c r="H18" i="5"/>
  <c r="H16" i="6"/>
  <c r="H38" i="6"/>
  <c r="H37" i="7"/>
  <c r="D17" i="6"/>
  <c r="H17" i="6" s="1"/>
  <c r="H53" i="7"/>
  <c r="H25" i="5"/>
  <c r="H8" i="5"/>
  <c r="H55" i="5"/>
  <c r="H7" i="7"/>
  <c r="H54" i="7"/>
  <c r="H18" i="7"/>
  <c r="H23" i="7"/>
  <c r="H24" i="7"/>
  <c r="H19" i="7"/>
  <c r="H20" i="6"/>
  <c r="H23" i="6"/>
  <c r="H25" i="6"/>
  <c r="H45" i="6"/>
  <c r="H8" i="6"/>
  <c r="H45" i="5"/>
  <c r="H38" i="5"/>
  <c r="H16" i="7"/>
  <c r="D17" i="7"/>
  <c r="H17" i="7" s="1"/>
  <c r="H34" i="7"/>
  <c r="H14" i="7"/>
  <c r="D15" i="7"/>
  <c r="H15" i="7" s="1"/>
  <c r="H52" i="7"/>
  <c r="H35" i="6"/>
  <c r="D54" i="6"/>
  <c r="H54" i="6" s="1"/>
  <c r="H48" i="6" s="1"/>
  <c r="H15" i="6"/>
  <c r="H14" i="5"/>
  <c r="H35" i="5"/>
  <c r="D54" i="5"/>
  <c r="H54" i="5" s="1"/>
  <c r="H48" i="5" s="1"/>
  <c r="H58" i="5" l="1"/>
  <c r="H14" i="6"/>
  <c r="H58" i="6" s="1"/>
  <c r="H47" i="7"/>
  <c r="H13" i="7"/>
  <c r="H57" i="7" s="1"/>
  <c r="G56" i="4" l="1"/>
  <c r="H56" i="4" s="1"/>
  <c r="G55" i="4"/>
  <c r="H55" i="4" s="1"/>
  <c r="G54" i="4"/>
  <c r="D54" i="4"/>
  <c r="H54" i="4" s="1"/>
  <c r="G53" i="4"/>
  <c r="G52" i="4"/>
  <c r="D52" i="4"/>
  <c r="G51" i="4"/>
  <c r="H51" i="4" s="1"/>
  <c r="G50" i="4"/>
  <c r="H50" i="4" s="1"/>
  <c r="G49" i="4"/>
  <c r="H49" i="4" s="1"/>
  <c r="G48" i="4"/>
  <c r="H48" i="4" s="1"/>
  <c r="G46" i="4"/>
  <c r="H46" i="4" s="1"/>
  <c r="G45" i="4"/>
  <c r="H45" i="4" s="1"/>
  <c r="H44" i="4" s="1"/>
  <c r="G43" i="4"/>
  <c r="H43" i="4" s="1"/>
  <c r="H42" i="4" s="1"/>
  <c r="G41" i="4"/>
  <c r="H41" i="4" s="1"/>
  <c r="H40" i="4" s="1"/>
  <c r="G39" i="4"/>
  <c r="H39" i="4" s="1"/>
  <c r="G38" i="4"/>
  <c r="H38" i="4" s="1"/>
  <c r="H37" i="4" s="1"/>
  <c r="G36" i="4"/>
  <c r="H36" i="4" s="1"/>
  <c r="G35" i="4"/>
  <c r="H35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H25" i="4"/>
  <c r="G25" i="4"/>
  <c r="G23" i="4"/>
  <c r="D23" i="4"/>
  <c r="H23" i="4" s="1"/>
  <c r="G22" i="4"/>
  <c r="D22" i="4"/>
  <c r="H22" i="4" s="1"/>
  <c r="G21" i="4"/>
  <c r="H21" i="4" s="1"/>
  <c r="G20" i="4"/>
  <c r="H20" i="4" s="1"/>
  <c r="G19" i="4"/>
  <c r="D19" i="4"/>
  <c r="G18" i="4"/>
  <c r="D18" i="4"/>
  <c r="H18" i="4" s="1"/>
  <c r="G17" i="4"/>
  <c r="G16" i="4"/>
  <c r="G15" i="4"/>
  <c r="G14" i="4"/>
  <c r="D14" i="4"/>
  <c r="D15" i="4" s="1"/>
  <c r="H15" i="4" s="1"/>
  <c r="G11" i="4"/>
  <c r="H11" i="4" s="1"/>
  <c r="G10" i="4"/>
  <c r="H10" i="4" s="1"/>
  <c r="G9" i="4"/>
  <c r="H9" i="4" s="1"/>
  <c r="G8" i="4"/>
  <c r="H8" i="4" s="1"/>
  <c r="H7" i="4" s="1"/>
  <c r="G57" i="3"/>
  <c r="H57" i="3" s="1"/>
  <c r="G56" i="3"/>
  <c r="H56" i="3" s="1"/>
  <c r="G55" i="3"/>
  <c r="D55" i="3"/>
  <c r="H55" i="3" s="1"/>
  <c r="G54" i="3"/>
  <c r="G53" i="3"/>
  <c r="D53" i="3"/>
  <c r="D54" i="3" s="1"/>
  <c r="H54" i="3" s="1"/>
  <c r="G52" i="3"/>
  <c r="H52" i="3" s="1"/>
  <c r="G51" i="3"/>
  <c r="H51" i="3" s="1"/>
  <c r="G50" i="3"/>
  <c r="H50" i="3" s="1"/>
  <c r="G49" i="3"/>
  <c r="H49" i="3" s="1"/>
  <c r="G47" i="3"/>
  <c r="H47" i="3" s="1"/>
  <c r="G46" i="3"/>
  <c r="H46" i="3" s="1"/>
  <c r="H45" i="3" s="1"/>
  <c r="G44" i="3"/>
  <c r="H44" i="3" s="1"/>
  <c r="H43" i="3" s="1"/>
  <c r="G42" i="3"/>
  <c r="H42" i="3" s="1"/>
  <c r="H41" i="3" s="1"/>
  <c r="G40" i="3"/>
  <c r="H40" i="3" s="1"/>
  <c r="G39" i="3"/>
  <c r="H39" i="3" s="1"/>
  <c r="H38" i="3" s="1"/>
  <c r="G37" i="3"/>
  <c r="H37" i="3" s="1"/>
  <c r="G36" i="3"/>
  <c r="H36" i="3" s="1"/>
  <c r="G34" i="3"/>
  <c r="H34" i="3" s="1"/>
  <c r="G33" i="3"/>
  <c r="H33" i="3" s="1"/>
  <c r="G32" i="3"/>
  <c r="H32" i="3" s="1"/>
  <c r="G31" i="3"/>
  <c r="H31" i="3" s="1"/>
  <c r="G30" i="3"/>
  <c r="H30" i="3" s="1"/>
  <c r="G29" i="3"/>
  <c r="H29" i="3" s="1"/>
  <c r="G28" i="3"/>
  <c r="H28" i="3" s="1"/>
  <c r="G27" i="3"/>
  <c r="H27" i="3" s="1"/>
  <c r="G26" i="3"/>
  <c r="H26" i="3" s="1"/>
  <c r="H25" i="3" s="1"/>
  <c r="G24" i="3"/>
  <c r="D24" i="3"/>
  <c r="G23" i="3"/>
  <c r="D23" i="3"/>
  <c r="H23" i="3" s="1"/>
  <c r="G22" i="3"/>
  <c r="H22" i="3" s="1"/>
  <c r="G21" i="3"/>
  <c r="H21" i="3" s="1"/>
  <c r="G20" i="3"/>
  <c r="D20" i="3"/>
  <c r="H20" i="3" s="1"/>
  <c r="G19" i="3"/>
  <c r="H19" i="3" s="1"/>
  <c r="G18" i="3"/>
  <c r="H18" i="3" s="1"/>
  <c r="G17" i="3"/>
  <c r="G16" i="3"/>
  <c r="G15" i="3"/>
  <c r="D15" i="3"/>
  <c r="D16" i="3" s="1"/>
  <c r="H16" i="3" s="1"/>
  <c r="G12" i="3"/>
  <c r="H12" i="3" s="1"/>
  <c r="G11" i="3"/>
  <c r="H11" i="3" s="1"/>
  <c r="G10" i="3"/>
  <c r="H10" i="3" s="1"/>
  <c r="G9" i="3"/>
  <c r="H9" i="3" s="1"/>
  <c r="H8" i="3" s="1"/>
  <c r="G57" i="2"/>
  <c r="H57" i="2" s="1"/>
  <c r="G56" i="2"/>
  <c r="H56" i="2" s="1"/>
  <c r="G55" i="2"/>
  <c r="D55" i="2"/>
  <c r="G54" i="2"/>
  <c r="G53" i="2"/>
  <c r="D53" i="2"/>
  <c r="G52" i="2"/>
  <c r="H52" i="2" s="1"/>
  <c r="G51" i="2"/>
  <c r="H51" i="2" s="1"/>
  <c r="G50" i="2"/>
  <c r="H50" i="2" s="1"/>
  <c r="G49" i="2"/>
  <c r="H49" i="2" s="1"/>
  <c r="G47" i="2"/>
  <c r="H47" i="2" s="1"/>
  <c r="G46" i="2"/>
  <c r="H46" i="2" s="1"/>
  <c r="H44" i="2"/>
  <c r="G44" i="2"/>
  <c r="H43" i="2"/>
  <c r="G42" i="2"/>
  <c r="H42" i="2" s="1"/>
  <c r="G40" i="2"/>
  <c r="H40" i="2" s="1"/>
  <c r="G39" i="2"/>
  <c r="H39" i="2" s="1"/>
  <c r="G37" i="2"/>
  <c r="H37" i="2" s="1"/>
  <c r="G36" i="2"/>
  <c r="D36" i="2"/>
  <c r="H36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D18" i="2"/>
  <c r="G17" i="2"/>
  <c r="H17" i="2" s="1"/>
  <c r="G16" i="2"/>
  <c r="H16" i="2" s="1"/>
  <c r="G15" i="2"/>
  <c r="H15" i="2" s="1"/>
  <c r="G12" i="2"/>
  <c r="H12" i="2" s="1"/>
  <c r="G11" i="2"/>
  <c r="H11" i="2" s="1"/>
  <c r="G10" i="2"/>
  <c r="H10" i="2" s="1"/>
  <c r="G9" i="2"/>
  <c r="H9" i="2" s="1"/>
  <c r="H24" i="4" l="1"/>
  <c r="H19" i="4"/>
  <c r="H52" i="4"/>
  <c r="H47" i="4" s="1"/>
  <c r="D53" i="4"/>
  <c r="H53" i="4" s="1"/>
  <c r="H34" i="4"/>
  <c r="H35" i="3"/>
  <c r="H24" i="3"/>
  <c r="H53" i="2"/>
  <c r="H8" i="2"/>
  <c r="H18" i="2"/>
  <c r="H55" i="2"/>
  <c r="H14" i="4"/>
  <c r="D16" i="4"/>
  <c r="H53" i="3"/>
  <c r="H48" i="3" s="1"/>
  <c r="D17" i="3"/>
  <c r="H17" i="3" s="1"/>
  <c r="H15" i="3"/>
  <c r="H14" i="3" s="1"/>
  <c r="H58" i="3" s="1"/>
  <c r="H25" i="2"/>
  <c r="H45" i="2"/>
  <c r="H35" i="2"/>
  <c r="H14" i="2"/>
  <c r="H38" i="2"/>
  <c r="D54" i="2"/>
  <c r="H54" i="2" s="1"/>
  <c r="D17" i="4" l="1"/>
  <c r="H17" i="4" s="1"/>
  <c r="H16" i="4"/>
  <c r="H48" i="2"/>
  <c r="H13" i="4" l="1"/>
  <c r="H57" i="4" s="1"/>
  <c r="H58" i="2"/>
</calcChain>
</file>

<file path=xl/sharedStrings.xml><?xml version="1.0" encoding="utf-8"?>
<sst xmlns="http://schemas.openxmlformats.org/spreadsheetml/2006/main" count="1518" uniqueCount="157">
  <si>
    <t xml:space="preserve">CHARGING WORK </t>
  </si>
  <si>
    <t xml:space="preserve">Site Name: </t>
  </si>
  <si>
    <t xml:space="preserve">Site Location: </t>
  </si>
  <si>
    <t>NO</t>
  </si>
  <si>
    <t>Item</t>
  </si>
  <si>
    <t>Spec</t>
  </si>
  <si>
    <t>VOLUME</t>
  </si>
  <si>
    <t>MERK</t>
  </si>
  <si>
    <t>UNIT PRICE 20kw</t>
  </si>
  <si>
    <t>TOTAL PRICE 20kw</t>
  </si>
  <si>
    <t>A</t>
  </si>
  <si>
    <t>Sertifikat NINDI &amp; SLO and Handling Fee</t>
  </si>
  <si>
    <t>20kw dc</t>
  </si>
  <si>
    <t>Lot</t>
  </si>
  <si>
    <t>Certificat NIDI</t>
  </si>
  <si>
    <t>VA</t>
  </si>
  <si>
    <t>Local</t>
  </si>
  <si>
    <t>Certificat SLO</t>
  </si>
  <si>
    <t>Service PLN Connection</t>
  </si>
  <si>
    <t>Price adjustment</t>
  </si>
  <si>
    <t>B</t>
  </si>
  <si>
    <t>CIVIL WORK</t>
  </si>
  <si>
    <t>I</t>
  </si>
  <si>
    <t>Foudation charger</t>
  </si>
  <si>
    <t>Excavation of foundation soil by machine combined with manual repair</t>
  </si>
  <si>
    <t>- Grade I land
- Transshipment horizontally, vertically, loading onto vehicles
- Transportation method is a provisional estimate "the contractor surveys and offers other practical measures (if any) to ensure optimal/competitive costs"</t>
  </si>
  <si>
    <t>m3</t>
  </si>
  <si>
    <t>Transporting soil to gather internally within the project</t>
  </si>
  <si>
    <t>- Level I land, truck transportation, load capacity, the contractor proposed to BPTC to offer competitive prices
- Distance &lt;=1km
- BP is a provisional estimate "the contractor surveys and offers other practical measures (if any) to ensure optimal/competitive costs"</t>
  </si>
  <si>
    <t xml:space="preserve">Plastic </t>
  </si>
  <si>
    <t>m2</t>
  </si>
  <si>
    <t>Concrete foundation lining, foundation bracing, foundation lining</t>
  </si>
  <si>
    <t>Concrete with K-225, slump 12 ± 2cm.</t>
  </si>
  <si>
    <t>Concrete foundation, foundation bracing, foundation</t>
  </si>
  <si>
    <t>Concrete with B20, slump 12 ± 2cm.</t>
  </si>
  <si>
    <t>Formwork of all kinds</t>
  </si>
  <si>
    <t>Wooden formwork/plywood/shaped steel/...
Contractors propose measures to offer competitive prices</t>
  </si>
  <si>
    <t>Concrete formwork for foundation, foundation bracing, foundation, wall bracing, foundation wall, lobby, steps</t>
  </si>
  <si>
    <t>Supply and install anchor bolts</t>
  </si>
  <si>
    <t>Property class 5.6, hot-dip galvanized on the threaded end, with the remaining part left self-colored (uncoated)</t>
  </si>
  <si>
    <t>kg</t>
  </si>
  <si>
    <t>Plastering outdoor</t>
  </si>
  <si>
    <t>Mortar M75
cell thickness 15mm</t>
  </si>
  <si>
    <t>External wall painting, foundation of cabinet, substation…</t>
  </si>
  <si>
    <t>Jotun paint system consisting of 1 coat of primer and 2 coats of topcoat in accordance with the approved color sample</t>
  </si>
  <si>
    <t>II</t>
  </si>
  <si>
    <t>Foudation Panel + Apar ( or using pole )</t>
  </si>
  <si>
    <t>C</t>
  </si>
  <si>
    <t xml:space="preserve">CIVIL WORK - Parkir Lot </t>
  </si>
  <si>
    <t>Line marking</t>
  </si>
  <si>
    <t xml:space="preserve">Case 1: Line marking for parking bays on concrete surfaces
- Surface cleaning.1st topcoat: Nippon Reflective Road Line Paint (Yellow), 35 µm Dry Film Thickness (DFT) (consumption rate: 0.1 liter/m²).
- 2nd topcoat: Nippon Reflective Road Line Paint (Yellow), 35 µm DFT (consumption rate: 0.1 liter/m²).
Case 2: Line marking for parking bays on asphalt surfaces
- Surface cleaning.1st topcoat: Nippon Reflective Road Line Paint (Yellow), 35 µm Dry Film Thickness (DFT) (consumption rate: 0.2 liter/m²).
- 2nd topcoat: Nippon Reflective Road Line Paint (Yellow), 35 µm DFT (consumption rate: 0.2 liter/m²).
or approved equivalent.
</t>
  </si>
  <si>
    <t>Car stops</t>
  </si>
  <si>
    <t>Dimensions: L550 x W150 x H100 mm.Material: 
- Rubber-plastic composite 
- Reflective strips included with the product.</t>
  </si>
  <si>
    <t>Pcs</t>
  </si>
  <si>
    <t>D</t>
  </si>
  <si>
    <t>Fire protection</t>
  </si>
  <si>
    <t>3kg CO2 portable fire extinguisher</t>
  </si>
  <si>
    <t>Cái</t>
  </si>
  <si>
    <t>Fire extinguisher rack (Dimensions: 500x200x200mm, 1.2mm thick sheet metal, powder coated), 100mm high legs</t>
  </si>
  <si>
    <t>2-bottle type</t>
  </si>
  <si>
    <t>E</t>
  </si>
  <si>
    <t>ELECTRICAL - Panel Distribution with acsoriess</t>
  </si>
  <si>
    <t>LT-PANEL electrical cabinet - 1x 20kW poles  3P</t>
  </si>
  <si>
    <t>Panel</t>
  </si>
  <si>
    <t>Se/Local</t>
  </si>
  <si>
    <t>Grounding</t>
  </si>
  <si>
    <t xml:space="preserve">Grounding Rod and insulation test </t>
  </si>
  <si>
    <t>F</t>
  </si>
  <si>
    <t>Install Charger</t>
  </si>
  <si>
    <t>20KW Charging Tower</t>
  </si>
  <si>
    <t>Sticker EV Charger (DTF type)</t>
  </si>
  <si>
    <t>Unit</t>
  </si>
  <si>
    <t>G</t>
  </si>
  <si>
    <t>CABLING AND ACCESSORIES INSTALLATION</t>
  </si>
  <si>
    <t>NA2XY (4Cx16)mm2 + E-NAYA (1Cx16)mm2 (from KWH to AC Panel)</t>
  </si>
  <si>
    <t>Mtr</t>
  </si>
  <si>
    <t>Supreme/Kabel Metal/Jembo/BICC Berca</t>
  </si>
  <si>
    <t>NA2XY (4Cx16)mm2 + E-NAYA (1Cx16)mm2 (from AC Panel to Charger)</t>
  </si>
  <si>
    <t>Cable Ground NYA 6mm with rod and grounding clamp</t>
  </si>
  <si>
    <t>HDPE DN40</t>
  </si>
  <si>
    <t>Excavation of foundation pits and trenches by machine</t>
  </si>
  <si>
    <t xml:space="preserve">
Level I Land</t>
  </si>
  <si>
    <t>Backfilling with vibratory compactors</t>
  </si>
  <si>
    <t xml:space="preserve">
Compaction coefficient K&gt;=0.9, utilize soil</t>
  </si>
  <si>
    <t>D300 warning tape</t>
  </si>
  <si>
    <t>m</t>
  </si>
  <si>
    <t>Other materials: Adhesives, tapes, plastic cable ties, fire starters, bolts, nuts, tie rod connectors, washers, expansion anchors, pipe clamps, rods Welding, Teflon tape, rubber-cushioned jute rope, rags, foam glue, gaskets, marking, labeling. Elbows, tees, pipe connectors, plastic pipe clamps, end caps (for conduit), conduit connectors, ladder connectors, grounding, terminal lugs &lt;50mm2, etc.</t>
  </si>
  <si>
    <t>H</t>
  </si>
  <si>
    <t>Biaya transport dan Survey (JAVA)</t>
  </si>
  <si>
    <t xml:space="preserve">Total </t>
  </si>
  <si>
    <t>UNIT PRICE 30kw</t>
  </si>
  <si>
    <t>TOTAL PRICE 30kw</t>
  </si>
  <si>
    <t>30kw dc</t>
  </si>
  <si>
    <t xml:space="preserve">Foudation Panel + Apar ( or using pole) </t>
  </si>
  <si>
    <t>LT-PANEL electrical cabinet - 1x 30kW poles  3P</t>
  </si>
  <si>
    <t>Grounding Rod and insulation test</t>
  </si>
  <si>
    <t>Charging Pole 30KW</t>
  </si>
  <si>
    <t>nA2Xy (3Cx25+1CX16) mm2 +e-nAya (1x16)mm2 (from KWH to AC Panel)</t>
  </si>
  <si>
    <t>nA2Xy (3Cx25+1CX16) mm2 +e-nAya (1x16)mm2 (from AC Panel to Charger)</t>
  </si>
  <si>
    <t>Cable Ground NYA 10mm with rod and grounding clamp</t>
  </si>
  <si>
    <t>HDPE DN50</t>
  </si>
  <si>
    <t>md</t>
  </si>
  <si>
    <t>Total</t>
  </si>
  <si>
    <t>UNIT PRICE 60kw</t>
  </si>
  <si>
    <t>TOTAL PRICE 60kw</t>
  </si>
  <si>
    <t>60kw dc</t>
  </si>
  <si>
    <t>Foudation Panel + Apar ( or using pole)</t>
  </si>
  <si>
    <t>LT-PANEL electrical cabinet - 1x 60kW poles  3P</t>
  </si>
  <si>
    <t>60kW Charging Pole</t>
  </si>
  <si>
    <t>nA2Xy 3Cx95+N.(1X50)mm2+e-nAya (1x50)mm2 (from KWH to AC Panel)</t>
  </si>
  <si>
    <t>nA2Xy 3Cx95+N.(1X50)mm2+e-nAya (1x50)mm2 (from AC Panel to Charger)</t>
  </si>
  <si>
    <t>Cable Ground NYA 16mm with rod and grounding clamp</t>
  </si>
  <si>
    <t>HDPE DN110</t>
  </si>
  <si>
    <t>NEW PLAN BOQ VGREEN - JAVA ISLAND</t>
  </si>
  <si>
    <t>BATTERY SWAP STATION 6 SLOT - 1P</t>
  </si>
  <si>
    <t>BOQ BSS 1 UNIT 6 SLOT VGREEN</t>
  </si>
  <si>
    <t>UNIT PRICE</t>
  </si>
  <si>
    <t>TOTAL PRICE</t>
  </si>
  <si>
    <t>INSTALATION WORK - EV Charger</t>
  </si>
  <si>
    <t>Dynabolt BSS M12</t>
  </si>
  <si>
    <t>Set</t>
  </si>
  <si>
    <t>Installation of Battery Swap Station</t>
  </si>
  <si>
    <t xml:space="preserve"> LT-PANEL electrical cabinet  - 1 Pack BSS 6 PIN 1P</t>
  </si>
  <si>
    <t>Outdooor Type</t>
  </si>
  <si>
    <t>Cable Power NYYHY 3x10 mm</t>
  </si>
  <si>
    <t>Meter</t>
  </si>
  <si>
    <t xml:space="preserve">Cable NYA 6mm </t>
  </si>
  <si>
    <t>Steel Conduit 25mm (1")</t>
  </si>
  <si>
    <t>Cable trenching and re-alignment</t>
  </si>
  <si>
    <t>Clipsal</t>
  </si>
  <si>
    <t xml:space="preserve">Civil-foundation </t>
  </si>
  <si>
    <t>Cement slurry bonding layer and leveling shims</t>
  </si>
  <si>
    <t>0,63</t>
  </si>
  <si>
    <t xml:space="preserve">Local </t>
  </si>
  <si>
    <t>Concrete foundation, foundation bracing -foundationConcrete with B20, slump 12 ± 2cm.</t>
  </si>
  <si>
    <t>0,08</t>
  </si>
  <si>
    <t>Formwork of lineconcrete -Wooden formwork/plywood/shaped steel/
Contractors propose measures to offer competitive prices</t>
  </si>
  <si>
    <t>0,38</t>
  </si>
  <si>
    <t>Steel bars for foundation D&lt;10mm - Construction, erection of reinforced columns, foundations, beams, floors, bracing stations, tanks of all types with BJTS240</t>
  </si>
  <si>
    <t>1,58</t>
  </si>
  <si>
    <t>Surface smoothing by grinding</t>
  </si>
  <si>
    <t>Coating for foundation bases-2 coats of solvent-based epoxy topcoat, color RAL 5014 or approved equivalent.</t>
  </si>
  <si>
    <t>BATTERY SWAP STATION  12 SLOT - 1P</t>
  </si>
  <si>
    <t>BOQ BSS 1 UNIT 12 SLOT 1P VGREEN</t>
  </si>
  <si>
    <t> </t>
  </si>
  <si>
    <t xml:space="preserve"> LT-PANEL electrical cabinet  - 1 Pack BSS 12 PIN 1P</t>
  </si>
  <si>
    <t>Cable Power NYYHY 3x16 mm</t>
  </si>
  <si>
    <t>Cable NYA 10mm</t>
  </si>
  <si>
    <t>Steel Conduit 40mm (1 1/2")</t>
  </si>
  <si>
    <t>BATTERY SWAP STATION  12 SLOT - 3P</t>
  </si>
  <si>
    <t>BOQ BSS 1 UNIT 12 SLOT 3P VGREEN</t>
  </si>
  <si>
    <t>LT-PANEL electrical cabinet  - 1 Pack BSS 12PIN 3P</t>
  </si>
  <si>
    <t>Cable Power NYY 4x6 mm</t>
  </si>
  <si>
    <t>NEW PLAN BOQ VGREEN - NON JAVA ISLAND</t>
  </si>
  <si>
    <t>BOQ BSS 1 UNIT 6 SLOT VGREEN (JAVA ISLAND)</t>
  </si>
  <si>
    <t>BOQ BSS 1 UNIT 12 SLOT 1P VGREEN (JAVA ISLAND)</t>
  </si>
  <si>
    <t>BOQ BSS 1 UNIT 12 SLOT 3P VGREEN (JAVA ISLAND)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</si>
</sst>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164" formatCode="_(* #,##0.00_);_(* \(#,##0.00\);_(* &quot;-&quot;??_);_(@_)"/>
    <numFmt numFmtId="165" formatCode="_(* #,##0_);_(* \(#,##0\);_(* &quot;-&quot;??_);_(@_)"/>
    <numFmt numFmtId="166" formatCode="_-[$Rp-421]* #,##0_-;\-[$Rp-421]* #,##0_-;_-[$Rp-421]* &quot;-&quot;??_-;_-@_-"/>
    <numFmt numFmtId="167" formatCode="_(* #,##0.000_);_(* \(#,##0.000\);_(* &quot;-&quot;??_);_(@_)"/>
    <numFmt numFmtId="168" formatCode="_-[$Rp-421]* #,##0_-;\-[$Rp-421]* #,##0_-;_-[$Rp-421]* &quot;-&quot;??_-;_-@"/>
  </numFmts>
  <fonts count="2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4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sz val="12"/>
      <name val=".VnTime"/>
      <family val="2"/>
    </font>
    <font>
      <b/>
      <i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4"/>
      <name val="Aptos Narrow"/>
      <family val="2"/>
    </font>
    <font>
      <sz val="11"/>
      <name val="Aptos Narrow"/>
      <family val="2"/>
    </font>
    <font>
      <i/>
      <sz val="10"/>
      <name val="Aptos Narrow"/>
      <family val="2"/>
    </font>
    <font>
      <b/>
      <i/>
      <sz val="10"/>
      <name val="Aptos Narrow"/>
      <family val="2"/>
    </font>
    <font>
      <b/>
      <i/>
      <sz val="12"/>
      <name val="Aptos Narrow"/>
      <family val="2"/>
    </font>
    <font>
      <i/>
      <sz val="11"/>
      <name val="Times New Roman"/>
      <family val="1"/>
    </font>
    <font>
      <i/>
      <sz val="10"/>
      <color rgb="FFFF0000"/>
      <name val="Aptos Narrow"/>
      <family val="2"/>
    </font>
    <font>
      <b/>
      <sz val="11"/>
      <name val="Aptos Narrow"/>
      <family val="2"/>
      <scheme val="minor"/>
    </font>
    <font>
      <i/>
      <sz val="11"/>
      <name val="Aptos Narrow"/>
      <family val="2"/>
    </font>
    <font>
      <sz val="10"/>
      <color theme="1"/>
      <name val="Times New Roman"/>
      <family val="1"/>
      <charset val="163"/>
    </font>
    <font>
      <sz val="10"/>
      <name val="Times New Roman"/>
      <family val="1"/>
    </font>
    <font>
      <b/>
      <i/>
      <sz val="12"/>
      <name val="Aptos Narrow"/>
      <family val="2"/>
      <scheme val="minor"/>
    </font>
    <font>
      <sz val="11"/>
      <name val="Aptos Narrow"/>
      <scheme val="minor"/>
    </font>
    <font>
      <sz val="1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D0D0D0"/>
        <bgColor rgb="FFD0D0D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</fills>
  <borders count="21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164" fontId="1" fillId="0" borderId="0" applyFont="0" applyFill="0" applyBorder="0" applyAlignment="0" applyProtection="0"/>
    <xf numFmtId="0" fontId="8" fillId="0" borderId="0"/>
    <xf numFmtId="0" fontId="13" fillId="0" borderId="0"/>
    <xf numFmtId="9" fontId="12" fillId="0" borderId="0" applyFont="0" applyFill="0" applyBorder="0" applyAlignment="0" applyProtection="0"/>
    <xf numFmtId="0" fontId="26" fillId="0" borderId="0"/>
  </cellStyleXfs>
  <cellXfs count="17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6" fontId="7" fillId="3" borderId="3" xfId="3" applyNumberFormat="1" applyFont="1" applyFill="1" applyBorder="1" applyAlignment="1">
      <alignment vertical="center"/>
    </xf>
    <xf numFmtId="166" fontId="7" fillId="3" borderId="5" xfId="3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66" fontId="7" fillId="2" borderId="3" xfId="3" applyNumberFormat="1" applyFont="1" applyFill="1" applyBorder="1" applyAlignment="1">
      <alignment vertical="center"/>
    </xf>
    <xf numFmtId="166" fontId="4" fillId="3" borderId="0" xfId="0" applyNumberFormat="1" applyFont="1" applyFill="1" applyAlignment="1">
      <alignment vertical="center"/>
    </xf>
    <xf numFmtId="9" fontId="4" fillId="3" borderId="0" xfId="1" applyFont="1" applyFill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166" fontId="9" fillId="3" borderId="0" xfId="0" applyNumberFormat="1" applyFont="1" applyFill="1" applyAlignment="1">
      <alignment vertical="center"/>
    </xf>
    <xf numFmtId="9" fontId="9" fillId="3" borderId="0" xfId="1" applyFont="1" applyFill="1" applyAlignment="1">
      <alignment vertical="center"/>
    </xf>
    <xf numFmtId="0" fontId="9" fillId="3" borderId="0" xfId="0" applyFont="1" applyFill="1" applyAlignment="1">
      <alignment vertical="center"/>
    </xf>
    <xf numFmtId="166" fontId="9" fillId="3" borderId="0" xfId="0" applyNumberFormat="1" applyFont="1" applyFill="1" applyAlignment="1">
      <alignment horizontal="center" vertical="center"/>
    </xf>
    <xf numFmtId="9" fontId="9" fillId="3" borderId="0" xfId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10" fontId="0" fillId="0" borderId="0" xfId="6" applyNumberFormat="1" applyFont="1"/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3" fillId="0" borderId="3" xfId="0" quotePrefix="1" applyFont="1" applyBorder="1" applyAlignment="1">
      <alignment vertical="center" wrapText="1"/>
    </xf>
    <xf numFmtId="167" fontId="23" fillId="0" borderId="3" xfId="4" applyNumberFormat="1" applyFont="1" applyBorder="1" applyAlignment="1">
      <alignment horizontal="center" vertical="center" wrapText="1"/>
    </xf>
    <xf numFmtId="0" fontId="23" fillId="0" borderId="5" xfId="0" quotePrefix="1" applyFont="1" applyBorder="1" applyAlignment="1">
      <alignment vertical="center" wrapText="1"/>
    </xf>
    <xf numFmtId="2" fontId="23" fillId="0" borderId="5" xfId="2" applyNumberFormat="1" applyFont="1" applyFill="1" applyBorder="1" applyAlignment="1">
      <alignment vertical="center" wrapText="1"/>
    </xf>
    <xf numFmtId="2" fontId="23" fillId="0" borderId="3" xfId="2" quotePrefix="1" applyNumberFormat="1" applyFont="1" applyFill="1" applyBorder="1" applyAlignment="1">
      <alignment vertical="center" wrapText="1"/>
    </xf>
    <xf numFmtId="2" fontId="23" fillId="0" borderId="3" xfId="2" applyNumberFormat="1" applyFont="1" applyFill="1" applyBorder="1" applyAlignment="1">
      <alignment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2" fontId="24" fillId="0" borderId="7" xfId="0" applyNumberFormat="1" applyFont="1" applyBorder="1" applyAlignment="1">
      <alignment vertical="center" wrapText="1"/>
    </xf>
    <xf numFmtId="2" fontId="24" fillId="0" borderId="3" xfId="0" applyNumberFormat="1" applyFont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65" fontId="6" fillId="4" borderId="4" xfId="3" applyNumberFormat="1" applyFont="1" applyFill="1" applyBorder="1" applyAlignment="1">
      <alignment horizontal="center" vertical="center"/>
    </xf>
    <xf numFmtId="165" fontId="6" fillId="4" borderId="3" xfId="3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 wrapText="1"/>
    </xf>
    <xf numFmtId="0" fontId="6" fillId="5" borderId="3" xfId="0" applyFont="1" applyFill="1" applyBorder="1" applyAlignment="1">
      <alignment vertical="center"/>
    </xf>
    <xf numFmtId="166" fontId="25" fillId="5" borderId="5" xfId="3" applyNumberFormat="1" applyFont="1" applyFill="1" applyBorder="1" applyAlignment="1">
      <alignment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166" fontId="11" fillId="5" borderId="3" xfId="3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/>
    </xf>
    <xf numFmtId="166" fontId="11" fillId="5" borderId="5" xfId="3" applyNumberFormat="1" applyFont="1" applyFill="1" applyBorder="1" applyAlignment="1">
      <alignment vertical="center"/>
    </xf>
    <xf numFmtId="166" fontId="6" fillId="3" borderId="0" xfId="0" applyNumberFormat="1" applyFont="1" applyFill="1" applyAlignment="1">
      <alignment horizontal="center" vertical="center"/>
    </xf>
    <xf numFmtId="166" fontId="25" fillId="5" borderId="3" xfId="3" applyNumberFormat="1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166" fontId="11" fillId="3" borderId="5" xfId="3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166" fontId="6" fillId="5" borderId="3" xfId="0" applyNumberFormat="1" applyFont="1" applyFill="1" applyBorder="1" applyAlignment="1">
      <alignment vertical="center"/>
    </xf>
    <xf numFmtId="166" fontId="10" fillId="3" borderId="0" xfId="0" applyNumberFormat="1" applyFont="1" applyFill="1" applyAlignment="1">
      <alignment vertical="center"/>
    </xf>
    <xf numFmtId="9" fontId="10" fillId="3" borderId="0" xfId="1" applyFont="1" applyFill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/>
    </xf>
    <xf numFmtId="165" fontId="6" fillId="2" borderId="5" xfId="3" applyNumberFormat="1" applyFont="1" applyFill="1" applyBorder="1" applyAlignment="1">
      <alignment horizontal="center" vertical="center"/>
    </xf>
    <xf numFmtId="165" fontId="6" fillId="2" borderId="9" xfId="3" applyNumberFormat="1" applyFont="1" applyFill="1" applyBorder="1" applyAlignment="1">
      <alignment horizontal="center" vertical="center"/>
    </xf>
    <xf numFmtId="165" fontId="6" fillId="2" borderId="10" xfId="3" applyNumberFormat="1" applyFont="1" applyFill="1" applyBorder="1" applyAlignment="1">
      <alignment horizontal="center" vertical="center"/>
    </xf>
    <xf numFmtId="0" fontId="26" fillId="0" borderId="0" xfId="7"/>
    <xf numFmtId="168" fontId="26" fillId="0" borderId="0" xfId="7" applyNumberFormat="1"/>
    <xf numFmtId="168" fontId="21" fillId="6" borderId="3" xfId="7" applyNumberFormat="1" applyFont="1" applyFill="1" applyBorder="1"/>
    <xf numFmtId="0" fontId="26" fillId="6" borderId="10" xfId="7" applyFill="1" applyBorder="1" applyAlignment="1">
      <alignment horizontal="center"/>
    </xf>
    <xf numFmtId="0" fontId="26" fillId="6" borderId="9" xfId="7" applyFill="1" applyBorder="1" applyAlignment="1">
      <alignment horizontal="center"/>
    </xf>
    <xf numFmtId="0" fontId="26" fillId="6" borderId="5" xfId="7" applyFill="1" applyBorder="1" applyAlignment="1">
      <alignment horizontal="center"/>
    </xf>
    <xf numFmtId="0" fontId="21" fillId="6" borderId="3" xfId="7" applyFont="1" applyFill="1" applyBorder="1"/>
    <xf numFmtId="168" fontId="16" fillId="0" borderId="8" xfId="7" applyNumberFormat="1" applyFont="1" applyBorder="1" applyAlignment="1">
      <alignment vertical="center"/>
    </xf>
    <xf numFmtId="168" fontId="16" fillId="0" borderId="3" xfId="7" applyNumberFormat="1" applyFont="1" applyBorder="1" applyAlignment="1">
      <alignment vertical="center"/>
    </xf>
    <xf numFmtId="0" fontId="16" fillId="0" borderId="13" xfId="7" applyFont="1" applyBorder="1" applyAlignment="1">
      <alignment horizontal="center" vertical="center"/>
    </xf>
    <xf numFmtId="0" fontId="16" fillId="0" borderId="13" xfId="7" applyFont="1" applyBorder="1" applyAlignment="1">
      <alignment vertical="center" wrapText="1"/>
    </xf>
    <xf numFmtId="0" fontId="16" fillId="0" borderId="8" xfId="7" applyFont="1" applyBorder="1" applyAlignment="1">
      <alignment horizontal="center" vertical="center"/>
    </xf>
    <xf numFmtId="0" fontId="16" fillId="0" borderId="3" xfId="7" applyFont="1" applyBorder="1" applyAlignment="1">
      <alignment horizontal="center" vertical="center"/>
    </xf>
    <xf numFmtId="0" fontId="16" fillId="0" borderId="3" xfId="7" applyFont="1" applyBorder="1" applyAlignment="1">
      <alignment vertical="center" wrapText="1"/>
    </xf>
    <xf numFmtId="2" fontId="12" fillId="0" borderId="3" xfId="7" applyNumberFormat="1" applyFont="1" applyBorder="1" applyAlignment="1">
      <alignment horizontal="center" vertical="center" wrapText="1"/>
    </xf>
    <xf numFmtId="0" fontId="16" fillId="0" borderId="3" xfId="7" applyFont="1" applyBorder="1" applyAlignment="1">
      <alignment vertical="center"/>
    </xf>
    <xf numFmtId="0" fontId="16" fillId="0" borderId="12" xfId="7" applyFont="1" applyBorder="1" applyAlignment="1">
      <alignment horizontal="center" vertical="center"/>
    </xf>
    <xf numFmtId="0" fontId="16" fillId="0" borderId="12" xfId="7" applyFont="1" applyBorder="1" applyAlignment="1">
      <alignment vertical="center"/>
    </xf>
    <xf numFmtId="0" fontId="16" fillId="0" borderId="12" xfId="7" applyFont="1" applyBorder="1" applyAlignment="1">
      <alignment vertical="center" wrapText="1"/>
    </xf>
    <xf numFmtId="168" fontId="17" fillId="10" borderId="3" xfId="7" applyNumberFormat="1" applyFont="1" applyFill="1" applyBorder="1" applyAlignment="1">
      <alignment vertical="center"/>
    </xf>
    <xf numFmtId="168" fontId="16" fillId="10" borderId="0" xfId="7" applyNumberFormat="1" applyFont="1" applyFill="1" applyAlignment="1">
      <alignment vertical="center"/>
    </xf>
    <xf numFmtId="0" fontId="16" fillId="10" borderId="0" xfId="7" applyFont="1" applyFill="1" applyAlignment="1">
      <alignment horizontal="center" vertical="center"/>
    </xf>
    <xf numFmtId="0" fontId="16" fillId="10" borderId="3" xfId="7" applyFont="1" applyFill="1" applyBorder="1" applyAlignment="1">
      <alignment horizontal="center" vertical="center"/>
    </xf>
    <xf numFmtId="0" fontId="17" fillId="10" borderId="3" xfId="7" applyFont="1" applyFill="1" applyBorder="1" applyAlignment="1">
      <alignment vertical="center" wrapText="1"/>
    </xf>
    <xf numFmtId="0" fontId="17" fillId="10" borderId="3" xfId="7" applyFont="1" applyFill="1" applyBorder="1" applyAlignment="1">
      <alignment horizontal="center" vertical="center"/>
    </xf>
    <xf numFmtId="168" fontId="16" fillId="10" borderId="3" xfId="7" applyNumberFormat="1" applyFont="1" applyFill="1" applyBorder="1" applyAlignment="1">
      <alignment vertical="center"/>
    </xf>
    <xf numFmtId="0" fontId="17" fillId="10" borderId="3" xfId="7" applyFont="1" applyFill="1" applyBorder="1" applyAlignment="1">
      <alignment vertical="center"/>
    </xf>
    <xf numFmtId="168" fontId="20" fillId="0" borderId="3" xfId="7" applyNumberFormat="1" applyFont="1" applyBorder="1" applyAlignment="1">
      <alignment vertical="center"/>
    </xf>
    <xf numFmtId="0" fontId="20" fillId="0" borderId="3" xfId="7" applyFont="1" applyBorder="1" applyAlignment="1">
      <alignment horizontal="center" vertical="center"/>
    </xf>
    <xf numFmtId="2" fontId="27" fillId="0" borderId="3" xfId="7" applyNumberFormat="1" applyFont="1" applyBorder="1" applyAlignment="1">
      <alignment vertical="center" wrapText="1"/>
    </xf>
    <xf numFmtId="0" fontId="16" fillId="0" borderId="3" xfId="7" applyFont="1" applyBorder="1" applyAlignment="1">
      <alignment horizontal="center" vertical="center" wrapText="1"/>
    </xf>
    <xf numFmtId="168" fontId="16" fillId="0" borderId="12" xfId="7" applyNumberFormat="1" applyFont="1" applyBorder="1" applyAlignment="1">
      <alignment vertical="center"/>
    </xf>
    <xf numFmtId="168" fontId="17" fillId="9" borderId="3" xfId="7" applyNumberFormat="1" applyFont="1" applyFill="1" applyBorder="1" applyAlignment="1">
      <alignment vertical="center"/>
    </xf>
    <xf numFmtId="168" fontId="16" fillId="9" borderId="3" xfId="7" applyNumberFormat="1" applyFont="1" applyFill="1" applyBorder="1" applyAlignment="1">
      <alignment vertical="center"/>
    </xf>
    <xf numFmtId="0" fontId="16" fillId="9" borderId="3" xfId="7" applyFont="1" applyFill="1" applyBorder="1" applyAlignment="1">
      <alignment horizontal="center" vertical="center"/>
    </xf>
    <xf numFmtId="0" fontId="17" fillId="9" borderId="3" xfId="7" applyFont="1" applyFill="1" applyBorder="1" applyAlignment="1">
      <alignment vertical="center"/>
    </xf>
    <xf numFmtId="0" fontId="17" fillId="9" borderId="3" xfId="7" applyFont="1" applyFill="1" applyBorder="1" applyAlignment="1">
      <alignment horizontal="center" vertical="center"/>
    </xf>
    <xf numFmtId="0" fontId="19" fillId="0" borderId="3" xfId="7" applyFont="1" applyBorder="1" applyAlignment="1">
      <alignment vertical="center"/>
    </xf>
    <xf numFmtId="0" fontId="15" fillId="0" borderId="3" xfId="7" applyFont="1" applyBorder="1" applyAlignment="1">
      <alignment horizontal="center" vertical="center"/>
    </xf>
    <xf numFmtId="168" fontId="16" fillId="2" borderId="3" xfId="7" applyNumberFormat="1" applyFont="1" applyFill="1" applyBorder="1" applyAlignment="1">
      <alignment vertical="center"/>
    </xf>
    <xf numFmtId="0" fontId="16" fillId="2" borderId="3" xfId="7" applyFont="1" applyFill="1" applyBorder="1" applyAlignment="1">
      <alignment horizontal="center" vertical="center"/>
    </xf>
    <xf numFmtId="0" fontId="16" fillId="2" borderId="3" xfId="7" applyFont="1" applyFill="1" applyBorder="1" applyAlignment="1">
      <alignment vertical="center"/>
    </xf>
    <xf numFmtId="165" fontId="17" fillId="8" borderId="3" xfId="7" applyNumberFormat="1" applyFont="1" applyFill="1" applyBorder="1" applyAlignment="1">
      <alignment horizontal="center" vertical="center"/>
    </xf>
    <xf numFmtId="0" fontId="17" fillId="8" borderId="3" xfId="7" applyFont="1" applyFill="1" applyBorder="1" applyAlignment="1">
      <alignment horizontal="center" vertical="center"/>
    </xf>
    <xf numFmtId="0" fontId="15" fillId="0" borderId="3" xfId="7" applyFont="1" applyBorder="1"/>
    <xf numFmtId="0" fontId="17" fillId="8" borderId="3" xfId="7" applyFont="1" applyFill="1" applyBorder="1" applyAlignment="1">
      <alignment horizontal="center" vertical="center"/>
    </xf>
    <xf numFmtId="0" fontId="15" fillId="0" borderId="11" xfId="7" applyFont="1" applyBorder="1" applyAlignment="1">
      <alignment horizontal="right"/>
    </xf>
    <xf numFmtId="0" fontId="15" fillId="0" borderId="0" xfId="7" applyFont="1" applyAlignment="1">
      <alignment horizontal="right"/>
    </xf>
    <xf numFmtId="165" fontId="18" fillId="7" borderId="0" xfId="7" applyNumberFormat="1" applyFont="1" applyFill="1" applyAlignment="1">
      <alignment horizontal="right"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vertical="center"/>
    </xf>
    <xf numFmtId="0" fontId="16" fillId="0" borderId="0" xfId="7" applyFont="1" applyAlignment="1">
      <alignment vertical="center"/>
    </xf>
    <xf numFmtId="0" fontId="17" fillId="0" borderId="0" xfId="7" applyFont="1" applyAlignment="1">
      <alignment horizontal="left" vertical="center" wrapText="1"/>
    </xf>
    <xf numFmtId="0" fontId="15" fillId="0" borderId="0" xfId="7" applyFont="1"/>
    <xf numFmtId="0" fontId="17" fillId="0" borderId="0" xfId="7" applyFont="1" applyAlignment="1">
      <alignment horizontal="left" vertical="center" wrapText="1"/>
    </xf>
    <xf numFmtId="0" fontId="16" fillId="0" borderId="0" xfId="7" applyFont="1" applyAlignment="1">
      <alignment horizontal="left" vertical="center"/>
    </xf>
    <xf numFmtId="0" fontId="14" fillId="7" borderId="0" xfId="7" applyFont="1" applyFill="1" applyAlignment="1">
      <alignment horizontal="center" vertical="center"/>
    </xf>
    <xf numFmtId="2" fontId="12" fillId="0" borderId="3" xfId="7" applyNumberFormat="1" applyFont="1" applyBorder="1" applyAlignment="1">
      <alignment vertical="center" wrapText="1"/>
    </xf>
    <xf numFmtId="168" fontId="17" fillId="10" borderId="12" xfId="7" applyNumberFormat="1" applyFont="1" applyFill="1" applyBorder="1" applyAlignment="1">
      <alignment vertical="center"/>
    </xf>
    <xf numFmtId="168" fontId="16" fillId="10" borderId="12" xfId="7" applyNumberFormat="1" applyFont="1" applyFill="1" applyBorder="1" applyAlignment="1">
      <alignment vertical="center"/>
    </xf>
    <xf numFmtId="0" fontId="16" fillId="10" borderId="12" xfId="7" applyFont="1" applyFill="1" applyBorder="1" applyAlignment="1">
      <alignment horizontal="center" vertical="center"/>
    </xf>
    <xf numFmtId="0" fontId="17" fillId="10" borderId="12" xfId="7" applyFont="1" applyFill="1" applyBorder="1" applyAlignment="1">
      <alignment vertical="center"/>
    </xf>
    <xf numFmtId="0" fontId="17" fillId="10" borderId="12" xfId="7" applyFont="1" applyFill="1" applyBorder="1" applyAlignment="1">
      <alignment horizontal="center" vertical="center"/>
    </xf>
    <xf numFmtId="168" fontId="20" fillId="0" borderId="12" xfId="7" applyNumberFormat="1" applyFont="1" applyBorder="1" applyAlignment="1">
      <alignment vertical="center"/>
    </xf>
    <xf numFmtId="0" fontId="20" fillId="0" borderId="12" xfId="7" applyFont="1" applyBorder="1" applyAlignment="1">
      <alignment horizontal="center" vertical="center"/>
    </xf>
    <xf numFmtId="0" fontId="20" fillId="0" borderId="12" xfId="7" applyFont="1" applyBorder="1" applyAlignment="1">
      <alignment vertical="center"/>
    </xf>
    <xf numFmtId="0" fontId="16" fillId="0" borderId="12" xfId="7" applyFont="1" applyBorder="1" applyAlignment="1">
      <alignment horizontal="center" vertical="center" wrapText="1"/>
    </xf>
    <xf numFmtId="168" fontId="17" fillId="9" borderId="12" xfId="7" applyNumberFormat="1" applyFont="1" applyFill="1" applyBorder="1" applyAlignment="1">
      <alignment vertical="center"/>
    </xf>
    <xf numFmtId="168" fontId="16" fillId="9" borderId="12" xfId="7" applyNumberFormat="1" applyFont="1" applyFill="1" applyBorder="1" applyAlignment="1">
      <alignment vertical="center"/>
    </xf>
    <xf numFmtId="0" fontId="16" fillId="9" borderId="12" xfId="7" applyFont="1" applyFill="1" applyBorder="1" applyAlignment="1">
      <alignment horizontal="center" vertical="center"/>
    </xf>
    <xf numFmtId="0" fontId="17" fillId="9" borderId="13" xfId="7" applyFont="1" applyFill="1" applyBorder="1" applyAlignment="1">
      <alignment vertical="center"/>
    </xf>
    <xf numFmtId="0" fontId="17" fillId="9" borderId="12" xfId="7" applyFont="1" applyFill="1" applyBorder="1" applyAlignment="1">
      <alignment horizontal="center" vertical="center"/>
    </xf>
    <xf numFmtId="0" fontId="19" fillId="0" borderId="13" xfId="7" applyFont="1" applyBorder="1" applyAlignment="1">
      <alignment vertical="center"/>
    </xf>
    <xf numFmtId="0" fontId="22" fillId="0" borderId="12" xfId="7" applyFont="1" applyBorder="1" applyAlignment="1">
      <alignment horizontal="center" vertical="center"/>
    </xf>
    <xf numFmtId="0" fontId="17" fillId="9" borderId="12" xfId="7" applyFont="1" applyFill="1" applyBorder="1" applyAlignment="1">
      <alignment vertical="center"/>
    </xf>
    <xf numFmtId="165" fontId="17" fillId="11" borderId="12" xfId="7" applyNumberFormat="1" applyFont="1" applyFill="1" applyBorder="1" applyAlignment="1">
      <alignment vertical="center"/>
    </xf>
    <xf numFmtId="168" fontId="17" fillId="9" borderId="20" xfId="7" applyNumberFormat="1" applyFont="1" applyFill="1" applyBorder="1" applyAlignment="1">
      <alignment vertical="center"/>
    </xf>
    <xf numFmtId="0" fontId="17" fillId="9" borderId="20" xfId="7" applyFont="1" applyFill="1" applyBorder="1" applyAlignment="1">
      <alignment horizontal="center" vertical="center"/>
    </xf>
    <xf numFmtId="0" fontId="17" fillId="9" borderId="20" xfId="7" applyFont="1" applyFill="1" applyBorder="1" applyAlignment="1">
      <alignment vertical="center"/>
    </xf>
    <xf numFmtId="165" fontId="17" fillId="8" borderId="19" xfId="7" applyNumberFormat="1" applyFont="1" applyFill="1" applyBorder="1" applyAlignment="1">
      <alignment horizontal="center" vertical="center"/>
    </xf>
    <xf numFmtId="165" fontId="17" fillId="8" borderId="18" xfId="7" applyNumberFormat="1" applyFont="1" applyFill="1" applyBorder="1" applyAlignment="1">
      <alignment horizontal="center" vertical="center"/>
    </xf>
    <xf numFmtId="0" fontId="17" fillId="8" borderId="11" xfId="7" applyFont="1" applyFill="1" applyBorder="1" applyAlignment="1">
      <alignment horizontal="center" vertical="center"/>
    </xf>
    <xf numFmtId="0" fontId="15" fillId="0" borderId="17" xfId="7" applyFont="1" applyBorder="1"/>
    <xf numFmtId="0" fontId="17" fillId="8" borderId="16" xfId="7" applyFont="1" applyFill="1" applyBorder="1" applyAlignment="1">
      <alignment horizontal="center" vertical="center"/>
    </xf>
    <xf numFmtId="0" fontId="17" fillId="8" borderId="15" xfId="7" applyFont="1" applyFill="1" applyBorder="1" applyAlignment="1">
      <alignment horizontal="center" vertical="center"/>
    </xf>
    <xf numFmtId="0" fontId="17" fillId="8" borderId="14" xfId="7" applyFont="1" applyFill="1" applyBorder="1" applyAlignment="1">
      <alignment horizontal="center" vertical="center"/>
    </xf>
    <xf numFmtId="0" fontId="15" fillId="0" borderId="11" xfId="7" applyFont="1" applyBorder="1"/>
    <xf numFmtId="165" fontId="18" fillId="7" borderId="0" xfId="7" applyNumberFormat="1" applyFont="1" applyFill="1" applyAlignment="1">
      <alignment horizontal="center" vertical="center"/>
    </xf>
    <xf numFmtId="0" fontId="22" fillId="0" borderId="0" xfId="7" applyFont="1"/>
    <xf numFmtId="6" fontId="26" fillId="0" borderId="0" xfId="7" applyNumberFormat="1"/>
    <xf numFmtId="0" fontId="17" fillId="0" borderId="3" xfId="7" applyFont="1" applyBorder="1" applyAlignment="1">
      <alignment vertical="center"/>
    </xf>
    <xf numFmtId="0" fontId="17" fillId="0" borderId="3" xfId="7" applyFont="1" applyBorder="1" applyAlignment="1">
      <alignment horizontal="center" vertical="center"/>
    </xf>
    <xf numFmtId="168" fontId="17" fillId="10" borderId="13" xfId="7" applyNumberFormat="1" applyFont="1" applyFill="1" applyBorder="1" applyAlignment="1">
      <alignment vertical="center"/>
    </xf>
    <xf numFmtId="168" fontId="16" fillId="10" borderId="13" xfId="7" applyNumberFormat="1" applyFont="1" applyFill="1" applyBorder="1" applyAlignment="1">
      <alignment vertical="center"/>
    </xf>
    <xf numFmtId="0" fontId="16" fillId="10" borderId="13" xfId="7" applyFont="1" applyFill="1" applyBorder="1" applyAlignment="1">
      <alignment horizontal="center" vertical="center"/>
    </xf>
    <xf numFmtId="0" fontId="17" fillId="10" borderId="13" xfId="7" applyFont="1" applyFill="1" applyBorder="1" applyAlignment="1">
      <alignment vertical="center"/>
    </xf>
    <xf numFmtId="0" fontId="17" fillId="10" borderId="13" xfId="7" applyFont="1" applyFill="1" applyBorder="1" applyAlignment="1">
      <alignment horizontal="center" vertical="center"/>
    </xf>
  </cellXfs>
  <cellStyles count="8">
    <cellStyle name="Comma 2" xfId="3" xr:uid="{CDD300DE-ADFF-4128-9F8B-1BB2E7B9D367}"/>
    <cellStyle name="Linked Cell" xfId="2" builtinId="24"/>
    <cellStyle name="Normal" xfId="0" builtinId="0"/>
    <cellStyle name="Normal 2" xfId="5" xr:uid="{148672A7-E353-4C8B-A918-C756A3394A11}"/>
    <cellStyle name="Normal 3" xfId="7" xr:uid="{6B3AA105-AE88-40F3-B21E-87EE71A34309}"/>
    <cellStyle name="Normal_Ctac khac 20-10" xfId="4" xr:uid="{6D2FC759-ECD0-4A02-BA01-EFE87220364A}"/>
    <cellStyle name="Percent" xfId="1" builtinId="5"/>
    <cellStyle name="Percent 2" xfId="6" xr:uid="{790D4A35-1D61-489C-ADFC-8DD02A264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harto/Downloads/NEW%20Breakdown%20Quotation%20Charger%20VGREEN%20(not%20Java).R2.xlsx" TargetMode="External"/><Relationship Id="rId2" Type="http://schemas.openxmlformats.org/officeDocument/2006/relationships/externalLinkPath" Target="file:///C:\Users\harto\Downloads\NEW%20Breakdown%20Quotation%20Charger%20VGREEN%20(not%20Java).R2.xlsx" TargetMode="External"/><Relationship Id="rId1" Type="http://schemas.openxmlformats.org/officeDocument/2006/relationships/externalLinkPath" Target="/Users/harto/Downloads/NEW%20Breakdown%20Quotation%20Charger%20VGREEN%20(not%20Java).R2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harto/Downloads/NEW%20Breakdown%20Quotation%20Charger%20VGREEN%20(Java).R2.xlsx" TargetMode="External"/><Relationship Id="rId2" Type="http://schemas.openxmlformats.org/officeDocument/2006/relationships/externalLinkPath" Target="file:///C:\Users\harto\Downloads\NEW%20Breakdown%20Quotation%20Charger%20VGREEN%20(Java).R2.xlsx" TargetMode="External"/><Relationship Id="rId1" Type="http://schemas.openxmlformats.org/officeDocument/2006/relationships/externalLinkPath" Target="/Users/harto/Downloads/NEW%20Breakdown%20Quotation%20Charger%20VGREEN%20(Java).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akdown from VHM BOQ"/>
      <sheetName val="BOQ 20kw"/>
      <sheetName val="BOQ 30Kw"/>
      <sheetName val="BOQ 60 Kw"/>
    </sheetNames>
    <sheetDataSet>
      <sheetData sheetId="0">
        <row r="9">
          <cell r="B9" t="str">
            <v>Certificat NIDI</v>
          </cell>
          <cell r="J9">
            <v>86</v>
          </cell>
          <cell r="K9">
            <v>86</v>
          </cell>
          <cell r="L9">
            <v>70</v>
          </cell>
        </row>
        <row r="10">
          <cell r="B10" t="str">
            <v>Certificat SLO</v>
          </cell>
          <cell r="J10">
            <v>86</v>
          </cell>
          <cell r="K10">
            <v>86</v>
          </cell>
          <cell r="L10">
            <v>70</v>
          </cell>
        </row>
        <row r="11">
          <cell r="B11" t="str">
            <v>Service PLN Connection</v>
          </cell>
          <cell r="J11">
            <v>3044000</v>
          </cell>
          <cell r="K11">
            <v>3324000</v>
          </cell>
          <cell r="L11">
            <v>5648000</v>
          </cell>
        </row>
        <row r="15">
          <cell r="B15" t="str">
            <v>Excavation of foundation soil by machine combined with manual repair</v>
          </cell>
          <cell r="J15">
            <v>138710</v>
          </cell>
          <cell r="K15">
            <v>138710</v>
          </cell>
          <cell r="L15">
            <v>138710</v>
          </cell>
        </row>
        <row r="18">
          <cell r="B18" t="str">
            <v>Transporting soil to gather internally within the project</v>
          </cell>
          <cell r="J18">
            <v>132000</v>
          </cell>
          <cell r="K18">
            <v>132000</v>
          </cell>
          <cell r="L18">
            <v>132000</v>
          </cell>
        </row>
        <row r="19">
          <cell r="B19" t="str">
            <v xml:space="preserve">Plastic </v>
          </cell>
          <cell r="J19">
            <v>16005.000000000002</v>
          </cell>
          <cell r="K19">
            <v>16005.000000000002</v>
          </cell>
          <cell r="L19">
            <v>16005.000000000002</v>
          </cell>
        </row>
        <row r="20">
          <cell r="B20" t="str">
            <v>Concrete foundation lining, foundation bracing, foundation lining</v>
          </cell>
          <cell r="J20">
            <v>1333750</v>
          </cell>
          <cell r="K20">
            <v>1333750</v>
          </cell>
          <cell r="L20">
            <v>1333750</v>
          </cell>
        </row>
        <row r="21">
          <cell r="B21" t="str">
            <v>Concrete foundation, foundation bracing, foundation</v>
          </cell>
          <cell r="J21">
            <v>1920600.0000000002</v>
          </cell>
          <cell r="K21">
            <v>1920600.0000000002</v>
          </cell>
          <cell r="L21">
            <v>1920600.0000000002</v>
          </cell>
        </row>
        <row r="22">
          <cell r="B22" t="str">
            <v>Formwork of all kinds</v>
          </cell>
          <cell r="J22">
            <v>323400</v>
          </cell>
          <cell r="K22">
            <v>323400</v>
          </cell>
          <cell r="L22">
            <v>323400</v>
          </cell>
        </row>
        <row r="23">
          <cell r="B23" t="str">
            <v>Concrete formwork for foundation, foundation bracing, foundation, wall bracing, foundation wall, lobby, steps</v>
          </cell>
          <cell r="J23">
            <v>332904</v>
          </cell>
          <cell r="K23">
            <v>332904</v>
          </cell>
          <cell r="L23">
            <v>332904</v>
          </cell>
        </row>
        <row r="24">
          <cell r="B24" t="str">
            <v>Supply and install anchor bolts</v>
          </cell>
          <cell r="J24">
            <v>37345</v>
          </cell>
          <cell r="K24">
            <v>37345</v>
          </cell>
          <cell r="L24">
            <v>37345</v>
          </cell>
        </row>
        <row r="25">
          <cell r="B25" t="str">
            <v>Plastering outdoor</v>
          </cell>
          <cell r="J25">
            <v>90695.000000000015</v>
          </cell>
          <cell r="K25">
            <v>90695.000000000015</v>
          </cell>
          <cell r="L25">
            <v>90695.000000000015</v>
          </cell>
        </row>
        <row r="26">
          <cell r="B26" t="str">
            <v>External wall painting, foundation of cabinet, substation…</v>
          </cell>
          <cell r="J26">
            <v>101200.00000000001</v>
          </cell>
          <cell r="K26">
            <v>101200.00000000001</v>
          </cell>
          <cell r="L26">
            <v>101200.00000000001</v>
          </cell>
        </row>
        <row r="28">
          <cell r="B28" t="str">
            <v>Excavation of foundation soil by machine combined with manual repair</v>
          </cell>
          <cell r="J28">
            <v>138710</v>
          </cell>
          <cell r="K28">
            <v>138710</v>
          </cell>
          <cell r="L28">
            <v>138710</v>
          </cell>
        </row>
        <row r="31">
          <cell r="B31" t="str">
            <v>Transporting soil to gather internally within the project</v>
          </cell>
          <cell r="J31">
            <v>132000</v>
          </cell>
          <cell r="K31">
            <v>132000</v>
          </cell>
          <cell r="L31">
            <v>132000</v>
          </cell>
        </row>
        <row r="32">
          <cell r="B32" t="str">
            <v>Concrete foundation lining, foundation bracing, foundation lining</v>
          </cell>
          <cell r="J32">
            <v>1333750</v>
          </cell>
          <cell r="K32">
            <v>1333750</v>
          </cell>
          <cell r="L32">
            <v>1333750</v>
          </cell>
        </row>
        <row r="33">
          <cell r="B33" t="str">
            <v>Concrete foundation, foundation bracing, foundation</v>
          </cell>
          <cell r="J33">
            <v>1920600.0000000002</v>
          </cell>
          <cell r="K33">
            <v>1920600.0000000002</v>
          </cell>
          <cell r="L33">
            <v>1920600.0000000002</v>
          </cell>
        </row>
        <row r="34">
          <cell r="B34" t="str">
            <v>Formwork of all kinds</v>
          </cell>
          <cell r="J34">
            <v>323400</v>
          </cell>
          <cell r="K34">
            <v>323400</v>
          </cell>
          <cell r="L34">
            <v>323400</v>
          </cell>
        </row>
        <row r="35">
          <cell r="B35" t="str">
            <v>Concrete formwork for foundation, foundation bracing, foundation, wall bracing, foundation wall, lobby, steps</v>
          </cell>
          <cell r="J35">
            <v>332904</v>
          </cell>
          <cell r="K35">
            <v>332904</v>
          </cell>
          <cell r="L35">
            <v>332904</v>
          </cell>
        </row>
        <row r="36">
          <cell r="B36" t="str">
            <v>Supply and install anchor bolts</v>
          </cell>
          <cell r="J36">
            <v>37345</v>
          </cell>
          <cell r="K36">
            <v>37345</v>
          </cell>
          <cell r="L36">
            <v>37345</v>
          </cell>
        </row>
        <row r="37">
          <cell r="B37" t="str">
            <v>Plastering outdoor</v>
          </cell>
          <cell r="J37">
            <v>90695.000000000015</v>
          </cell>
          <cell r="K37">
            <v>90695.000000000015</v>
          </cell>
          <cell r="L37">
            <v>90695.000000000015</v>
          </cell>
        </row>
        <row r="38">
          <cell r="B38" t="str">
            <v>External wall painting, foundation of cabinet, substation…</v>
          </cell>
          <cell r="J38">
            <v>101200.00000000001</v>
          </cell>
          <cell r="K38">
            <v>101200.00000000001</v>
          </cell>
          <cell r="L38">
            <v>101200.00000000001</v>
          </cell>
        </row>
        <row r="40">
          <cell r="B40" t="str">
            <v>Line marking</v>
          </cell>
          <cell r="J40">
            <v>53350.000000000007</v>
          </cell>
          <cell r="K40">
            <v>53350.000000000007</v>
          </cell>
          <cell r="L40">
            <v>53350.000000000007</v>
          </cell>
        </row>
        <row r="41">
          <cell r="B41" t="str">
            <v>Car stops</v>
          </cell>
          <cell r="J41">
            <v>234740.00000000003</v>
          </cell>
          <cell r="K41">
            <v>234740.00000000003</v>
          </cell>
          <cell r="L41">
            <v>234740.00000000003</v>
          </cell>
        </row>
        <row r="43">
          <cell r="B43" t="str">
            <v>3kg CO2 portable fire extinguisher</v>
          </cell>
          <cell r="J43">
            <v>1562000.0000000002</v>
          </cell>
          <cell r="K43">
            <v>1562000.0000000002</v>
          </cell>
          <cell r="L43">
            <v>1562000.0000000002</v>
          </cell>
        </row>
        <row r="44">
          <cell r="B44" t="str">
            <v>Fire extinguisher rack (Dimensions: 500x200x200mm, 1.2mm thick sheet metal, powder coated), 100mm high legs</v>
          </cell>
          <cell r="J44">
            <v>1004953.95</v>
          </cell>
          <cell r="K44">
            <v>1004953.95</v>
          </cell>
          <cell r="L44">
            <v>1004953.95</v>
          </cell>
        </row>
        <row r="47">
          <cell r="B47" t="str">
            <v>LT-PANEL electrical cabinet - 1x 20kW poles  3P</v>
          </cell>
          <cell r="J47">
            <v>5548400</v>
          </cell>
        </row>
        <row r="48">
          <cell r="B48" t="str">
            <v>LT-PANEL electrical cabinet - 1x 30kW poles  3P</v>
          </cell>
          <cell r="K48">
            <v>6935500.0000000009</v>
          </cell>
        </row>
        <row r="49">
          <cell r="B49" t="str">
            <v>LT-PANEL electrical cabinet - 1x 60kW poles  3P</v>
          </cell>
          <cell r="L49">
            <v>11737000.000000002</v>
          </cell>
        </row>
        <row r="55">
          <cell r="B55" t="str">
            <v>60kW Charging Pole</v>
          </cell>
          <cell r="L55">
            <v>6402000.0000000009</v>
          </cell>
        </row>
        <row r="56">
          <cell r="B56" t="str">
            <v>Charging Pole 30KW</v>
          </cell>
          <cell r="K56">
            <v>4801500</v>
          </cell>
        </row>
        <row r="57">
          <cell r="B57" t="str">
            <v>20KW Charging Tower</v>
          </cell>
          <cell r="J57">
            <v>3201000.0000000005</v>
          </cell>
        </row>
        <row r="58">
          <cell r="B58" t="str">
            <v>Sticker EV Charger (DTF type)</v>
          </cell>
          <cell r="J58">
            <v>110000.00000000001</v>
          </cell>
          <cell r="K58">
            <v>110000.00000000001</v>
          </cell>
          <cell r="L58">
            <v>110000.00000000001</v>
          </cell>
        </row>
        <row r="60">
          <cell r="B60" t="str">
            <v>NA2XY (4Cx16)mm2 + E-NAYA (1Cx16)mm2 (from KWH to AC Panel)</v>
          </cell>
          <cell r="J60">
            <v>86513.426999999996</v>
          </cell>
        </row>
        <row r="61">
          <cell r="B61" t="str">
            <v>NA2XY (4Cx16)mm2 + E-NAYA (1Cx16)mm2 (from AC Panel to Charger)</v>
          </cell>
          <cell r="J61">
            <v>86513.426999999996</v>
          </cell>
        </row>
        <row r="62">
          <cell r="B62" t="str">
            <v>Cable Ground NYA 6mm with rod and grounding clamp</v>
          </cell>
          <cell r="J62">
            <v>19800</v>
          </cell>
        </row>
        <row r="63">
          <cell r="B63" t="str">
            <v>nA2Xy (3Cx25+1CX16) mm2 +e-nAya (1x16)mm2 (from KWH to AC Panel)</v>
          </cell>
          <cell r="K63">
            <v>176734.5723</v>
          </cell>
        </row>
        <row r="64">
          <cell r="B64" t="str">
            <v>nA2Xy (3Cx25+1CX16) mm2 +e-nAya (1x16)mm2 (from AC Panel to Charger)</v>
          </cell>
          <cell r="K64">
            <v>176734.5723</v>
          </cell>
        </row>
        <row r="65">
          <cell r="B65" t="str">
            <v>Cable Ground NYA 10mm with rod and grounding clamp</v>
          </cell>
          <cell r="K65">
            <v>34100</v>
          </cell>
        </row>
        <row r="66">
          <cell r="B66" t="str">
            <v>nA2Xy 3Cx95+N.(1X50)mm2+e-nAya (1x50)mm2 (from KWH to AC Panel)</v>
          </cell>
          <cell r="L66">
            <v>291982.81612500007</v>
          </cell>
        </row>
        <row r="67">
          <cell r="B67" t="str">
            <v>nA2Xy 3Cx95+N.(1X50)mm2+e-nAya (1x50)mm2 (from AC Panel to Charger)</v>
          </cell>
          <cell r="L67">
            <v>291982.81612500007</v>
          </cell>
        </row>
        <row r="68">
          <cell r="B68" t="str">
            <v>Cable Ground NYA 16mm with rod and grounding clamp</v>
          </cell>
          <cell r="L68">
            <v>61050.000000000007</v>
          </cell>
        </row>
        <row r="76">
          <cell r="B76" t="str">
            <v>Excavation of foundation pits and trenches by machine</v>
          </cell>
          <cell r="J76">
            <v>128040.00000000001</v>
          </cell>
          <cell r="K76">
            <v>128040.00000000001</v>
          </cell>
          <cell r="L76">
            <v>128040.00000000001</v>
          </cell>
        </row>
        <row r="77">
          <cell r="B77" t="str">
            <v>Backfilling with vibratory compactors</v>
          </cell>
          <cell r="J77">
            <v>154715</v>
          </cell>
          <cell r="K77">
            <v>154715</v>
          </cell>
          <cell r="L77">
            <v>154715</v>
          </cell>
        </row>
        <row r="78">
          <cell r="B78" t="str">
            <v>D300 warning tape</v>
          </cell>
          <cell r="J78">
            <v>16005.000000000002</v>
          </cell>
          <cell r="K78">
            <v>16005.000000000002</v>
          </cell>
          <cell r="L78">
            <v>16005.000000000002</v>
          </cell>
        </row>
        <row r="79">
          <cell r="B79" t="str">
            <v>Other materials: Adhesives, tapes, plastic cable ties, fire starters, bolts, nuts, tie rod connectors, washers, expansion anchors, pipe clamps, rods Welding, Teflon tape, rubber-cushioned jute rope, rags, foam glue, gaskets, marking, labeling. Elbows, tees, pipe connectors, plastic pipe clamps, end caps (for conduit), conduit connectors, ladder connectors, grounding, terminal lugs &lt;50mm2, etc.</v>
          </cell>
          <cell r="J79">
            <v>373450.00000000006</v>
          </cell>
          <cell r="K79">
            <v>373450.00000000006</v>
          </cell>
          <cell r="L79">
            <v>373450.00000000006</v>
          </cell>
        </row>
        <row r="80">
          <cell r="B80" t="str">
            <v>Biaya transport dan Survey (JAVA)</v>
          </cell>
          <cell r="J80">
            <v>1100000</v>
          </cell>
          <cell r="K80">
            <v>1100000</v>
          </cell>
          <cell r="L80">
            <v>1100000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akdown from VHM BOQ"/>
      <sheetName val="BOQ 20kw"/>
      <sheetName val="BOQ 30Kw"/>
      <sheetName val="BOQ 60 Kw"/>
    </sheetNames>
    <sheetDataSet>
      <sheetData sheetId="0">
        <row r="9">
          <cell r="B9" t="str">
            <v>Certificat NIDI</v>
          </cell>
          <cell r="J9">
            <v>86</v>
          </cell>
          <cell r="K9">
            <v>86</v>
          </cell>
          <cell r="L9">
            <v>70</v>
          </cell>
        </row>
        <row r="10">
          <cell r="B10" t="str">
            <v>Certificat SLO</v>
          </cell>
          <cell r="J10">
            <v>86</v>
          </cell>
          <cell r="K10">
            <v>86</v>
          </cell>
          <cell r="L10">
            <v>70</v>
          </cell>
        </row>
        <row r="11">
          <cell r="B11" t="str">
            <v>Service PLN Connection</v>
          </cell>
          <cell r="J11">
            <v>3044000</v>
          </cell>
          <cell r="K11">
            <v>3324000</v>
          </cell>
          <cell r="L11">
            <v>5648000</v>
          </cell>
        </row>
        <row r="15">
          <cell r="B15" t="str">
            <v>Excavation of foundation soil by machine combined with manual repair</v>
          </cell>
          <cell r="J15">
            <v>126100</v>
          </cell>
          <cell r="K15">
            <v>126100</v>
          </cell>
          <cell r="L15">
            <v>126100</v>
          </cell>
        </row>
        <row r="18">
          <cell r="B18" t="str">
            <v>Transporting soil to gather internally within the project</v>
          </cell>
          <cell r="J18">
            <v>120000</v>
          </cell>
          <cell r="K18">
            <v>120000</v>
          </cell>
          <cell r="L18">
            <v>120000</v>
          </cell>
        </row>
        <row r="19">
          <cell r="B19" t="str">
            <v xml:space="preserve">Plastic </v>
          </cell>
          <cell r="J19">
            <v>14550</v>
          </cell>
          <cell r="K19">
            <v>14550</v>
          </cell>
          <cell r="L19">
            <v>14550</v>
          </cell>
        </row>
        <row r="20">
          <cell r="B20" t="str">
            <v>Concrete foundation lining, foundation bracing, foundation lining</v>
          </cell>
          <cell r="J20">
            <v>1212500</v>
          </cell>
          <cell r="K20">
            <v>1212500</v>
          </cell>
          <cell r="L20">
            <v>1212500</v>
          </cell>
        </row>
        <row r="21">
          <cell r="B21" t="str">
            <v>Concrete foundation, foundation bracing, foundation</v>
          </cell>
          <cell r="J21">
            <v>1746000</v>
          </cell>
          <cell r="K21">
            <v>1746000</v>
          </cell>
          <cell r="L21">
            <v>1746000</v>
          </cell>
        </row>
        <row r="22">
          <cell r="B22" t="str">
            <v>Formwork of all kinds</v>
          </cell>
          <cell r="J22">
            <v>294000</v>
          </cell>
          <cell r="K22">
            <v>294000</v>
          </cell>
          <cell r="L22">
            <v>294000</v>
          </cell>
        </row>
        <row r="23">
          <cell r="B23" t="str">
            <v>Concrete formwork for foundation, foundation bracing, foundation, wall bracing, foundation wall, lobby, steps</v>
          </cell>
          <cell r="J23">
            <v>302640</v>
          </cell>
          <cell r="K23">
            <v>302640</v>
          </cell>
          <cell r="L23">
            <v>302640</v>
          </cell>
        </row>
        <row r="24">
          <cell r="B24" t="str">
            <v>Supply and install anchor bolts</v>
          </cell>
          <cell r="J24">
            <v>33950</v>
          </cell>
          <cell r="K24">
            <v>33950</v>
          </cell>
          <cell r="L24">
            <v>33950</v>
          </cell>
        </row>
        <row r="25">
          <cell r="B25" t="str">
            <v>Plastering outdoor</v>
          </cell>
          <cell r="J25">
            <v>82450</v>
          </cell>
          <cell r="K25">
            <v>82450</v>
          </cell>
          <cell r="L25">
            <v>82450</v>
          </cell>
        </row>
        <row r="26">
          <cell r="B26" t="str">
            <v>External wall painting, foundation of cabinet, substation…</v>
          </cell>
          <cell r="J26">
            <v>92000</v>
          </cell>
          <cell r="K26">
            <v>92000</v>
          </cell>
          <cell r="L26">
            <v>92000</v>
          </cell>
        </row>
        <row r="28">
          <cell r="B28" t="str">
            <v>Excavation of foundation soil by machine combined with manual repair</v>
          </cell>
          <cell r="J28">
            <v>126100</v>
          </cell>
          <cell r="K28">
            <v>126100</v>
          </cell>
          <cell r="L28">
            <v>126100</v>
          </cell>
        </row>
        <row r="31">
          <cell r="B31" t="str">
            <v>Transporting soil to gather internally within the project</v>
          </cell>
          <cell r="J31">
            <v>120000</v>
          </cell>
          <cell r="K31">
            <v>120000</v>
          </cell>
          <cell r="L31">
            <v>120000</v>
          </cell>
        </row>
        <row r="32">
          <cell r="B32" t="str">
            <v>Concrete foundation lining, foundation bracing, foundation lining</v>
          </cell>
          <cell r="J32">
            <v>1212500</v>
          </cell>
          <cell r="K32">
            <v>1212500</v>
          </cell>
          <cell r="L32">
            <v>1212500</v>
          </cell>
        </row>
        <row r="33">
          <cell r="B33" t="str">
            <v>Concrete foundation, foundation bracing, foundation</v>
          </cell>
          <cell r="J33">
            <v>1746000</v>
          </cell>
          <cell r="K33">
            <v>1746000</v>
          </cell>
          <cell r="L33">
            <v>1746000</v>
          </cell>
        </row>
        <row r="34">
          <cell r="B34" t="str">
            <v>Formwork of all kinds</v>
          </cell>
          <cell r="J34">
            <v>294000</v>
          </cell>
          <cell r="K34">
            <v>294000</v>
          </cell>
          <cell r="L34">
            <v>294000</v>
          </cell>
        </row>
        <row r="35">
          <cell r="B35" t="str">
            <v>Concrete formwork for foundation, foundation bracing, foundation, wall bracing, foundation wall, lobby, steps</v>
          </cell>
          <cell r="J35">
            <v>302640</v>
          </cell>
          <cell r="K35">
            <v>302640</v>
          </cell>
          <cell r="L35">
            <v>302640</v>
          </cell>
        </row>
        <row r="36">
          <cell r="B36" t="str">
            <v>Supply and install anchor bolts</v>
          </cell>
          <cell r="J36">
            <v>33950</v>
          </cell>
          <cell r="K36">
            <v>33950</v>
          </cell>
          <cell r="L36">
            <v>33950</v>
          </cell>
        </row>
        <row r="37">
          <cell r="B37" t="str">
            <v>Plastering outdoor</v>
          </cell>
          <cell r="J37">
            <v>82450</v>
          </cell>
          <cell r="K37">
            <v>82450</v>
          </cell>
          <cell r="L37">
            <v>82450</v>
          </cell>
        </row>
        <row r="38">
          <cell r="B38" t="str">
            <v>External wall painting, foundation of cabinet, substation…</v>
          </cell>
          <cell r="J38">
            <v>92000</v>
          </cell>
          <cell r="K38">
            <v>92000</v>
          </cell>
          <cell r="L38">
            <v>92000</v>
          </cell>
        </row>
        <row r="40">
          <cell r="B40" t="str">
            <v>Line marking</v>
          </cell>
          <cell r="J40">
            <v>48500</v>
          </cell>
          <cell r="K40">
            <v>48500</v>
          </cell>
          <cell r="L40">
            <v>48500</v>
          </cell>
        </row>
        <row r="41">
          <cell r="B41" t="str">
            <v>Car stops</v>
          </cell>
          <cell r="J41">
            <v>213400</v>
          </cell>
          <cell r="K41">
            <v>213400</v>
          </cell>
          <cell r="L41">
            <v>213400</v>
          </cell>
        </row>
        <row r="43">
          <cell r="B43" t="str">
            <v>3kg CO2 portable fire extinguisher</v>
          </cell>
          <cell r="J43">
            <v>1420000</v>
          </cell>
          <cell r="K43">
            <v>1420000</v>
          </cell>
          <cell r="L43">
            <v>1420000</v>
          </cell>
        </row>
        <row r="44">
          <cell r="B44" t="str">
            <v>Fire extinguisher rack (Dimensions: 500x200x200mm, 1.2mm thick sheet metal, powder coated), 100mm high legs</v>
          </cell>
          <cell r="J44">
            <v>913594.49999999988</v>
          </cell>
          <cell r="K44">
            <v>913594.49999999988</v>
          </cell>
          <cell r="L44">
            <v>913594.49999999988</v>
          </cell>
        </row>
        <row r="47">
          <cell r="B47" t="str">
            <v>LT-PANEL electrical cabinet - 1x 20kW poles  3P</v>
          </cell>
          <cell r="J47">
            <v>5044000</v>
          </cell>
        </row>
        <row r="48">
          <cell r="B48" t="str">
            <v>LT-PANEL electrical cabinet - 1x 30kW poles  3P</v>
          </cell>
          <cell r="K48">
            <v>6305000</v>
          </cell>
        </row>
        <row r="49">
          <cell r="B49" t="str">
            <v>LT-PANEL electrical cabinet - 1x 60kW poles  3P</v>
          </cell>
          <cell r="L49">
            <v>10670000</v>
          </cell>
        </row>
        <row r="55">
          <cell r="B55" t="str">
            <v>60kW Charging Pole</v>
          </cell>
          <cell r="L55">
            <v>5820000</v>
          </cell>
        </row>
        <row r="56">
          <cell r="B56" t="str">
            <v>Charging Pole 30KW</v>
          </cell>
          <cell r="K56">
            <v>4365000</v>
          </cell>
        </row>
        <row r="57">
          <cell r="B57" t="str">
            <v>20KW Charging Tower</v>
          </cell>
          <cell r="J57">
            <v>2910000</v>
          </cell>
        </row>
        <row r="58">
          <cell r="B58" t="str">
            <v>Sticker EV Charger (DTF type)</v>
          </cell>
          <cell r="J58">
            <v>100000</v>
          </cell>
          <cell r="K58">
            <v>100000</v>
          </cell>
          <cell r="L58">
            <v>100000</v>
          </cell>
        </row>
        <row r="60">
          <cell r="B60" t="str">
            <v>NA2XY (4Cx16)mm2 + E-NAYA (1Cx16)mm2 (from KWH to AC Panel)</v>
          </cell>
          <cell r="J60">
            <v>78648.569999999992</v>
          </cell>
        </row>
        <row r="61">
          <cell r="B61" t="str">
            <v>NA2XY (4Cx16)mm2 + E-NAYA (1Cx16)mm2 (from AC Panel to Charger)</v>
          </cell>
          <cell r="J61">
            <v>78648.569999999992</v>
          </cell>
        </row>
        <row r="62">
          <cell r="B62" t="str">
            <v>Cable Ground NYA 6mm with rod and grounding clamp</v>
          </cell>
          <cell r="J62">
            <v>18000</v>
          </cell>
        </row>
        <row r="63">
          <cell r="B63" t="str">
            <v>nA2Xy (3Cx25+1CX16) mm2 +e-nAya (1x16)mm2 (from KWH to AC Panel)</v>
          </cell>
          <cell r="K63">
            <v>160667.79299999998</v>
          </cell>
        </row>
        <row r="64">
          <cell r="B64" t="str">
            <v>nA2Xy (3Cx25+1CX16) mm2 +e-nAya (1x16)mm2 (from AC Panel to Charger)</v>
          </cell>
          <cell r="K64">
            <v>160667.79299999998</v>
          </cell>
        </row>
        <row r="65">
          <cell r="B65" t="str">
            <v>Cable Ground NYA 10mm with rod and grounding clamp</v>
          </cell>
          <cell r="K65">
            <v>31000</v>
          </cell>
        </row>
        <row r="66">
          <cell r="B66" t="str">
            <v>nA2Xy 3Cx95+N.(1X50)mm2+e-nAya (1x50)mm2 (from KWH to AC Panel)</v>
          </cell>
          <cell r="L66">
            <v>265438.92375000002</v>
          </cell>
        </row>
        <row r="67">
          <cell r="B67" t="str">
            <v>nA2Xy 3Cx95+N.(1X50)mm2+e-nAya (1x50)mm2 (from AC Panel to Charger)</v>
          </cell>
          <cell r="L67">
            <v>265438.92375000002</v>
          </cell>
        </row>
        <row r="68">
          <cell r="B68" t="str">
            <v>Cable Ground NYA 16mm with rod and grounding clamp</v>
          </cell>
          <cell r="L68">
            <v>55500</v>
          </cell>
        </row>
        <row r="76">
          <cell r="B76" t="str">
            <v>Excavation of foundation pits and trenches by machine</v>
          </cell>
          <cell r="J76">
            <v>116400</v>
          </cell>
          <cell r="K76">
            <v>116400</v>
          </cell>
          <cell r="L76">
            <v>116400</v>
          </cell>
        </row>
        <row r="77">
          <cell r="B77" t="str">
            <v>Backfilling with vibratory compactors</v>
          </cell>
          <cell r="J77">
            <v>140650</v>
          </cell>
          <cell r="K77">
            <v>140650</v>
          </cell>
          <cell r="L77">
            <v>140650</v>
          </cell>
        </row>
        <row r="78">
          <cell r="B78" t="str">
            <v>D300 warning tape</v>
          </cell>
          <cell r="J78">
            <v>14550</v>
          </cell>
          <cell r="K78">
            <v>14550</v>
          </cell>
          <cell r="L78">
            <v>14550</v>
          </cell>
        </row>
        <row r="79">
          <cell r="B79" t="str">
            <v>Other materials: Adhesives, tapes, plastic cable ties, fire starters, bolts, nuts, tie rod connectors, washers, expansion anchors, pipe clamps, rods Welding, Teflon tape, rubber-cushioned jute rope, rags, foam glue, gaskets, marking, labeling. Elbows, tees, pipe connectors, plastic pipe clamps, end caps (for conduit), conduit connectors, ladder connectors, grounding, terminal lugs &lt;50mm2, etc.</v>
          </cell>
          <cell r="J79">
            <v>339500</v>
          </cell>
          <cell r="K79">
            <v>339500</v>
          </cell>
          <cell r="L79">
            <v>339500</v>
          </cell>
        </row>
        <row r="80">
          <cell r="B80" t="str">
            <v>Biaya transport dan Survey (JAVA)</v>
          </cell>
          <cell r="J80">
            <v>1000000</v>
          </cell>
          <cell r="K80">
            <v>1000000</v>
          </cell>
          <cell r="L80">
            <v>1000000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93B4-8573-435F-80B6-06D4C07A60D2}">
  <sheetPr>
    <tabColor theme="0"/>
  </sheetPr>
  <dimension ref="A1:J58"/>
  <sheetViews>
    <sheetView view="pageBreakPreview" zoomScale="70" zoomScaleNormal="70" zoomScaleSheetLayoutView="70" workbookViewId="0">
      <pane ySplit="6" topLeftCell="A28" activePane="bottomLeft" state="frozen"/>
      <selection activeCell="L79" sqref="L79"/>
      <selection pane="bottomLeft" activeCell="G5" sqref="G5:H5"/>
    </sheetView>
  </sheetViews>
  <sheetFormatPr defaultColWidth="9.53125" defaultRowHeight="13.15" outlineLevelCol="1"/>
  <cols>
    <col min="1" max="1" width="7.59765625" style="3" customWidth="1"/>
    <col min="2" max="2" width="31.19921875" style="3" customWidth="1"/>
    <col min="3" max="3" width="44" style="3" customWidth="1"/>
    <col min="4" max="4" width="8.46484375" style="2" bestFit="1" customWidth="1"/>
    <col min="5" max="5" width="6.53125" style="2" bestFit="1" customWidth="1"/>
    <col min="6" max="6" width="13.86328125" style="3" customWidth="1"/>
    <col min="7" max="7" width="20.59765625" style="3" customWidth="1" outlineLevel="1"/>
    <col min="8" max="8" width="20.59765625" style="3" customWidth="1"/>
    <col min="9" max="9" width="16.1328125" style="3" bestFit="1" customWidth="1"/>
    <col min="10" max="10" width="9.73046875" style="3" bestFit="1" customWidth="1"/>
    <col min="11" max="16384" width="9.53125" style="3"/>
  </cols>
  <sheetData>
    <row r="1" spans="1:10" ht="31.45" customHeight="1">
      <c r="A1" s="70" t="s">
        <v>0</v>
      </c>
      <c r="B1" s="70"/>
      <c r="C1" s="1"/>
    </row>
    <row r="2" spans="1:10">
      <c r="A2" s="4" t="s">
        <v>1</v>
      </c>
      <c r="B2" s="5"/>
      <c r="C2" s="5"/>
    </row>
    <row r="3" spans="1:10" ht="13.15" customHeight="1">
      <c r="A3" s="71" t="s">
        <v>2</v>
      </c>
      <c r="B3" s="71"/>
      <c r="C3" s="71"/>
      <c r="D3" s="71"/>
      <c r="E3" s="71"/>
      <c r="F3" s="6"/>
    </row>
    <row r="4" spans="1:10" ht="13.15" customHeight="1">
      <c r="B4" s="4"/>
      <c r="C4" s="4"/>
    </row>
    <row r="5" spans="1:10" ht="25.45" customHeight="1">
      <c r="B5" s="4"/>
      <c r="C5" s="4"/>
      <c r="G5" s="73" t="s">
        <v>153</v>
      </c>
      <c r="H5" s="74"/>
    </row>
    <row r="6" spans="1:10" s="47" customFormat="1" ht="16.149999999999999" thickBot="1">
      <c r="A6" s="43" t="s">
        <v>3</v>
      </c>
      <c r="B6" s="43" t="s">
        <v>4</v>
      </c>
      <c r="C6" s="43" t="s">
        <v>5</v>
      </c>
      <c r="D6" s="72" t="s">
        <v>6</v>
      </c>
      <c r="E6" s="72"/>
      <c r="F6" s="43" t="s">
        <v>7</v>
      </c>
      <c r="G6" s="45" t="s">
        <v>8</v>
      </c>
      <c r="H6" s="46" t="s">
        <v>9</v>
      </c>
    </row>
    <row r="7" spans="1:10">
      <c r="A7" s="67"/>
      <c r="B7" s="68"/>
      <c r="C7" s="69"/>
      <c r="D7" s="69"/>
      <c r="E7" s="69"/>
      <c r="F7" s="2"/>
    </row>
    <row r="8" spans="1:10" ht="15.75">
      <c r="A8" s="48" t="s">
        <v>10</v>
      </c>
      <c r="B8" s="50" t="s">
        <v>11</v>
      </c>
      <c r="C8" s="50"/>
      <c r="D8" s="48" t="s">
        <v>12</v>
      </c>
      <c r="E8" s="48" t="s">
        <v>13</v>
      </c>
      <c r="F8" s="50"/>
      <c r="G8" s="60"/>
      <c r="H8" s="51">
        <f>SUM(H9:H12)</f>
        <v>5945945.94594594</v>
      </c>
    </row>
    <row r="9" spans="1:10">
      <c r="A9" s="8">
        <v>1</v>
      </c>
      <c r="B9" s="9" t="s">
        <v>14</v>
      </c>
      <c r="C9" s="9"/>
      <c r="D9" s="8">
        <v>23000</v>
      </c>
      <c r="E9" s="8" t="s">
        <v>15</v>
      </c>
      <c r="F9" s="8" t="s">
        <v>16</v>
      </c>
      <c r="G9" s="10">
        <f>IF(B9='[1]Breakdown from VHM BOQ'!B9,'[1]Breakdown from VHM BOQ'!J9,"")*1.1</f>
        <v>94.600000000000009</v>
      </c>
      <c r="H9" s="11">
        <f>D9*G9</f>
        <v>2175800</v>
      </c>
    </row>
    <row r="10" spans="1:10">
      <c r="A10" s="8">
        <v>2</v>
      </c>
      <c r="B10" s="9" t="s">
        <v>17</v>
      </c>
      <c r="C10" s="9"/>
      <c r="D10" s="8">
        <v>23000</v>
      </c>
      <c r="E10" s="8" t="s">
        <v>15</v>
      </c>
      <c r="F10" s="8" t="s">
        <v>16</v>
      </c>
      <c r="G10" s="10">
        <f>IF(B10='[1]Breakdown from VHM BOQ'!B10,'[1]Breakdown from VHM BOQ'!J10,"")*1.1</f>
        <v>94.600000000000009</v>
      </c>
      <c r="H10" s="11">
        <f t="shared" ref="H10:H12" si="0">D10*G10</f>
        <v>2175800</v>
      </c>
    </row>
    <row r="11" spans="1:10">
      <c r="A11" s="8">
        <v>3</v>
      </c>
      <c r="B11" s="9" t="s">
        <v>18</v>
      </c>
      <c r="C11" s="9"/>
      <c r="D11" s="8">
        <v>1</v>
      </c>
      <c r="E11" s="8" t="s">
        <v>13</v>
      </c>
      <c r="F11" s="8" t="s">
        <v>16</v>
      </c>
      <c r="G11" s="10">
        <f>IF(B11='[1]Breakdown from VHM BOQ'!B11,'[1]Breakdown from VHM BOQ'!J11,"")*1.1</f>
        <v>3348400.0000000005</v>
      </c>
      <c r="H11" s="11">
        <f t="shared" si="0"/>
        <v>3348400.0000000005</v>
      </c>
    </row>
    <row r="12" spans="1:10">
      <c r="A12" s="8"/>
      <c r="B12" s="12" t="s">
        <v>19</v>
      </c>
      <c r="C12" s="12"/>
      <c r="D12" s="13">
        <v>1</v>
      </c>
      <c r="E12" s="13"/>
      <c r="F12" s="13"/>
      <c r="G12" s="14">
        <f>-1594594.5945946*1.1</f>
        <v>-1754054.05405406</v>
      </c>
      <c r="H12" s="11">
        <f t="shared" si="0"/>
        <v>-1754054.05405406</v>
      </c>
    </row>
    <row r="13" spans="1:10" s="26" customFormat="1" ht="15.75">
      <c r="A13" s="48" t="s">
        <v>20</v>
      </c>
      <c r="B13" s="50" t="s">
        <v>21</v>
      </c>
      <c r="C13" s="50"/>
      <c r="D13" s="52"/>
      <c r="E13" s="52"/>
      <c r="F13" s="53"/>
      <c r="G13" s="54"/>
      <c r="H13" s="51">
        <v>721977</v>
      </c>
    </row>
    <row r="14" spans="1:10" ht="15.75">
      <c r="A14" s="48" t="s">
        <v>22</v>
      </c>
      <c r="B14" s="61" t="s">
        <v>23</v>
      </c>
      <c r="C14" s="50"/>
      <c r="D14" s="52"/>
      <c r="E14" s="52"/>
      <c r="F14" s="53"/>
      <c r="G14" s="54"/>
      <c r="H14" s="51">
        <f>SUM(H15:H24)</f>
        <v>794174.7</v>
      </c>
    </row>
    <row r="15" spans="1:10" ht="78.75">
      <c r="A15" s="8">
        <v>1</v>
      </c>
      <c r="B15" s="36" t="s">
        <v>24</v>
      </c>
      <c r="C15" s="37" t="s">
        <v>25</v>
      </c>
      <c r="D15" s="8">
        <v>1.52</v>
      </c>
      <c r="E15" s="34" t="s">
        <v>26</v>
      </c>
      <c r="F15" s="8" t="s">
        <v>16</v>
      </c>
      <c r="G15" s="10">
        <f>IF(B15='[1]Breakdown from VHM BOQ'!B15,'[1]Breakdown from VHM BOQ'!J15,"")</f>
        <v>138710</v>
      </c>
      <c r="H15" s="11">
        <f t="shared" ref="H15:H34" si="1">D15*G15</f>
        <v>210839.2</v>
      </c>
      <c r="I15" s="15"/>
      <c r="J15" s="16"/>
    </row>
    <row r="16" spans="1:10" ht="78.75">
      <c r="A16" s="8">
        <v>4</v>
      </c>
      <c r="B16" s="36" t="s">
        <v>27</v>
      </c>
      <c r="C16" s="38" t="s">
        <v>28</v>
      </c>
      <c r="D16" s="8">
        <v>1.49</v>
      </c>
      <c r="E16" s="34" t="s">
        <v>26</v>
      </c>
      <c r="F16" s="8" t="s">
        <v>16</v>
      </c>
      <c r="G16" s="10">
        <f>IF(B16='[1]Breakdown from VHM BOQ'!B18,'[1]Breakdown from VHM BOQ'!J18,"")</f>
        <v>132000</v>
      </c>
      <c r="H16" s="11">
        <f t="shared" si="1"/>
        <v>196680</v>
      </c>
      <c r="I16" s="15"/>
      <c r="J16" s="16"/>
    </row>
    <row r="17" spans="1:10">
      <c r="A17" s="8">
        <v>5</v>
      </c>
      <c r="B17" s="36" t="s">
        <v>29</v>
      </c>
      <c r="C17" s="38"/>
      <c r="D17" s="8">
        <v>0.12</v>
      </c>
      <c r="E17" s="34" t="s">
        <v>30</v>
      </c>
      <c r="F17" s="8" t="s">
        <v>16</v>
      </c>
      <c r="G17" s="10">
        <f>IF(B17='[1]Breakdown from VHM BOQ'!B19,'[1]Breakdown from VHM BOQ'!J19,"")</f>
        <v>16005.000000000002</v>
      </c>
      <c r="H17" s="11">
        <f t="shared" si="1"/>
        <v>1920.6000000000001</v>
      </c>
      <c r="I17" s="15"/>
      <c r="J17" s="16"/>
    </row>
    <row r="18" spans="1:10" ht="26.25">
      <c r="A18" s="8">
        <v>6</v>
      </c>
      <c r="B18" s="36" t="s">
        <v>31</v>
      </c>
      <c r="C18" s="38" t="s">
        <v>32</v>
      </c>
      <c r="D18" s="8">
        <f>D17*0.05</f>
        <v>6.0000000000000001E-3</v>
      </c>
      <c r="E18" s="34" t="s">
        <v>26</v>
      </c>
      <c r="F18" s="8" t="s">
        <v>16</v>
      </c>
      <c r="G18" s="10">
        <f>IF(B18='[1]Breakdown from VHM BOQ'!B20,'[1]Breakdown from VHM BOQ'!J20,"")</f>
        <v>1333750</v>
      </c>
      <c r="H18" s="11">
        <f t="shared" si="1"/>
        <v>8002.5</v>
      </c>
      <c r="I18" s="15"/>
      <c r="J18" s="16"/>
    </row>
    <row r="19" spans="1:10" ht="26.25">
      <c r="A19" s="8">
        <v>7</v>
      </c>
      <c r="B19" s="36" t="s">
        <v>33</v>
      </c>
      <c r="C19" s="38" t="s">
        <v>34</v>
      </c>
      <c r="D19" s="8">
        <v>0.04</v>
      </c>
      <c r="E19" s="34" t="s">
        <v>26</v>
      </c>
      <c r="F19" s="8" t="s">
        <v>16</v>
      </c>
      <c r="G19" s="10">
        <f>IF(B19='[1]Breakdown from VHM BOQ'!B21,'[1]Breakdown from VHM BOQ'!J21,"")</f>
        <v>1920600.0000000002</v>
      </c>
      <c r="H19" s="11">
        <f t="shared" si="1"/>
        <v>76824.000000000015</v>
      </c>
      <c r="I19" s="15"/>
      <c r="J19" s="16"/>
    </row>
    <row r="20" spans="1:10" ht="26.25">
      <c r="A20" s="8">
        <v>8</v>
      </c>
      <c r="B20" s="39" t="s">
        <v>35</v>
      </c>
      <c r="C20" s="40" t="s">
        <v>36</v>
      </c>
      <c r="D20" s="8">
        <v>7.0000000000000007E-2</v>
      </c>
      <c r="E20" s="34" t="s">
        <v>30</v>
      </c>
      <c r="F20" s="8" t="s">
        <v>16</v>
      </c>
      <c r="G20" s="10">
        <f>IF(B20='[1]Breakdown from VHM BOQ'!B22,'[1]Breakdown from VHM BOQ'!J22,"")</f>
        <v>323400</v>
      </c>
      <c r="H20" s="11">
        <f t="shared" si="1"/>
        <v>22638.000000000004</v>
      </c>
      <c r="I20" s="15"/>
      <c r="J20" s="16"/>
    </row>
    <row r="21" spans="1:10" ht="39.4">
      <c r="A21" s="8">
        <v>9</v>
      </c>
      <c r="B21" s="39" t="s">
        <v>37</v>
      </c>
      <c r="C21" s="40" t="s">
        <v>36</v>
      </c>
      <c r="D21" s="8">
        <v>0.6</v>
      </c>
      <c r="E21" s="34" t="s">
        <v>30</v>
      </c>
      <c r="F21" s="8" t="s">
        <v>16</v>
      </c>
      <c r="G21" s="10">
        <f>IF(B21='[1]Breakdown from VHM BOQ'!B23,'[1]Breakdown from VHM BOQ'!J23,"")</f>
        <v>332904</v>
      </c>
      <c r="H21" s="11">
        <f t="shared" si="1"/>
        <v>199742.4</v>
      </c>
      <c r="I21" s="15"/>
      <c r="J21" s="16"/>
    </row>
    <row r="22" spans="1:10" ht="26.25">
      <c r="A22" s="8">
        <v>10</v>
      </c>
      <c r="B22" s="36" t="s">
        <v>38</v>
      </c>
      <c r="C22" s="38" t="s">
        <v>39</v>
      </c>
      <c r="D22" s="8">
        <v>0.74</v>
      </c>
      <c r="E22" s="34" t="s">
        <v>40</v>
      </c>
      <c r="F22" s="8" t="s">
        <v>16</v>
      </c>
      <c r="G22" s="10">
        <f>IF(B22='[1]Breakdown from VHM BOQ'!B24,'[1]Breakdown from VHM BOQ'!J24,"")</f>
        <v>37345</v>
      </c>
      <c r="H22" s="11">
        <f t="shared" si="1"/>
        <v>27635.3</v>
      </c>
      <c r="I22" s="15"/>
      <c r="J22" s="16"/>
    </row>
    <row r="23" spans="1:10" ht="26.25">
      <c r="A23" s="8">
        <v>11</v>
      </c>
      <c r="B23" s="39" t="s">
        <v>41</v>
      </c>
      <c r="C23" s="40" t="s">
        <v>42</v>
      </c>
      <c r="D23" s="8">
        <v>0.26</v>
      </c>
      <c r="E23" s="34" t="s">
        <v>30</v>
      </c>
      <c r="F23" s="8" t="s">
        <v>16</v>
      </c>
      <c r="G23" s="10">
        <f>IF(B23='[1]Breakdown from VHM BOQ'!B25,'[1]Breakdown from VHM BOQ'!J25,"")</f>
        <v>90695.000000000015</v>
      </c>
      <c r="H23" s="11">
        <f t="shared" si="1"/>
        <v>23580.700000000004</v>
      </c>
      <c r="I23" s="15"/>
      <c r="J23" s="16"/>
    </row>
    <row r="24" spans="1:10" s="26" customFormat="1" ht="39.4">
      <c r="A24" s="8">
        <v>12</v>
      </c>
      <c r="B24" s="36" t="s">
        <v>43</v>
      </c>
      <c r="C24" s="38" t="s">
        <v>44</v>
      </c>
      <c r="D24" s="8">
        <v>0.26</v>
      </c>
      <c r="E24" s="34" t="s">
        <v>30</v>
      </c>
      <c r="F24" s="8" t="s">
        <v>16</v>
      </c>
      <c r="G24" s="10">
        <f>IF(B24='[1]Breakdown from VHM BOQ'!B26,'[1]Breakdown from VHM BOQ'!J26,"")</f>
        <v>101200.00000000001</v>
      </c>
      <c r="H24" s="11">
        <f t="shared" si="1"/>
        <v>26312.000000000004</v>
      </c>
      <c r="I24" s="65"/>
      <c r="J24" s="66"/>
    </row>
    <row r="25" spans="1:10" ht="15.75">
      <c r="A25" s="48" t="s">
        <v>45</v>
      </c>
      <c r="B25" s="61" t="s">
        <v>46</v>
      </c>
      <c r="C25" s="50"/>
      <c r="D25" s="52"/>
      <c r="E25" s="52"/>
      <c r="F25" s="53"/>
      <c r="G25" s="54"/>
      <c r="H25" s="62">
        <f>SUM(H26:H34)</f>
        <v>1180171.828</v>
      </c>
      <c r="I25" s="15"/>
      <c r="J25" s="16"/>
    </row>
    <row r="26" spans="1:10" ht="78.75">
      <c r="A26" s="8">
        <v>1</v>
      </c>
      <c r="B26" s="36" t="s">
        <v>24</v>
      </c>
      <c r="C26" s="37" t="s">
        <v>25</v>
      </c>
      <c r="D26" s="8">
        <v>9.5400000000000013E-2</v>
      </c>
      <c r="E26" s="34" t="s">
        <v>26</v>
      </c>
      <c r="F26" s="8" t="s">
        <v>16</v>
      </c>
      <c r="G26" s="10">
        <f>IF(B26='[1]Breakdown from VHM BOQ'!B28,'[1]Breakdown from VHM BOQ'!J28,"")</f>
        <v>138710</v>
      </c>
      <c r="H26" s="11">
        <f>D26*G26</f>
        <v>13232.934000000001</v>
      </c>
      <c r="I26" s="15"/>
      <c r="J26" s="16"/>
    </row>
    <row r="27" spans="1:10" ht="78.75">
      <c r="A27" s="8">
        <v>4</v>
      </c>
      <c r="B27" s="36" t="s">
        <v>27</v>
      </c>
      <c r="C27" s="38" t="s">
        <v>28</v>
      </c>
      <c r="D27" s="8">
        <v>9.5400000000000013E-2</v>
      </c>
      <c r="E27" s="34" t="s">
        <v>26</v>
      </c>
      <c r="F27" s="8" t="s">
        <v>16</v>
      </c>
      <c r="G27" s="10">
        <f>IF(B27='[1]Breakdown from VHM BOQ'!B31,'[1]Breakdown from VHM BOQ'!J31,"")</f>
        <v>132000</v>
      </c>
      <c r="H27" s="11">
        <f t="shared" si="1"/>
        <v>12592.800000000001</v>
      </c>
      <c r="I27" s="15"/>
      <c r="J27" s="16"/>
    </row>
    <row r="28" spans="1:10" ht="26.25">
      <c r="A28" s="8">
        <v>5</v>
      </c>
      <c r="B28" s="36" t="s">
        <v>31</v>
      </c>
      <c r="C28" s="38" t="s">
        <v>32</v>
      </c>
      <c r="D28" s="8">
        <v>0.15</v>
      </c>
      <c r="E28" s="34" t="s">
        <v>26</v>
      </c>
      <c r="F28" s="8" t="s">
        <v>16</v>
      </c>
      <c r="G28" s="10">
        <f>IF(B28='[1]Breakdown from VHM BOQ'!B32,'[1]Breakdown from VHM BOQ'!J32,"")</f>
        <v>1333750</v>
      </c>
      <c r="H28" s="11">
        <f t="shared" si="1"/>
        <v>200062.5</v>
      </c>
      <c r="I28" s="15"/>
      <c r="J28" s="16"/>
    </row>
    <row r="29" spans="1:10" ht="26.25">
      <c r="A29" s="8">
        <v>6</v>
      </c>
      <c r="B29" s="36" t="s">
        <v>33</v>
      </c>
      <c r="C29" s="38" t="s">
        <v>34</v>
      </c>
      <c r="D29" s="8">
        <v>7.7399999999999997E-2</v>
      </c>
      <c r="E29" s="34" t="s">
        <v>26</v>
      </c>
      <c r="F29" s="8" t="s">
        <v>16</v>
      </c>
      <c r="G29" s="10">
        <f>IF(B29='[1]Breakdown from VHM BOQ'!B33,'[1]Breakdown from VHM BOQ'!J33,"")</f>
        <v>1920600.0000000002</v>
      </c>
      <c r="H29" s="11">
        <f t="shared" si="1"/>
        <v>148654.44</v>
      </c>
      <c r="I29" s="15"/>
      <c r="J29" s="16"/>
    </row>
    <row r="30" spans="1:10" ht="26.25">
      <c r="A30" s="8">
        <v>7</v>
      </c>
      <c r="B30" s="39" t="s">
        <v>35</v>
      </c>
      <c r="C30" s="40" t="s">
        <v>36</v>
      </c>
      <c r="D30" s="8">
        <v>0.79200000000000004</v>
      </c>
      <c r="E30" s="34" t="s">
        <v>30</v>
      </c>
      <c r="F30" s="8" t="s">
        <v>16</v>
      </c>
      <c r="G30" s="10">
        <f>IF(B30='[1]Breakdown from VHM BOQ'!B34,'[1]Breakdown from VHM BOQ'!J34,"")</f>
        <v>323400</v>
      </c>
      <c r="H30" s="11">
        <f t="shared" si="1"/>
        <v>256132.80000000002</v>
      </c>
      <c r="I30" s="15"/>
      <c r="J30" s="16"/>
    </row>
    <row r="31" spans="1:10" ht="39.4">
      <c r="A31" s="8">
        <v>8</v>
      </c>
      <c r="B31" s="39" t="s">
        <v>37</v>
      </c>
      <c r="C31" s="40" t="s">
        <v>36</v>
      </c>
      <c r="D31" s="8">
        <v>0.876</v>
      </c>
      <c r="E31" s="34" t="s">
        <v>30</v>
      </c>
      <c r="F31" s="8" t="s">
        <v>16</v>
      </c>
      <c r="G31" s="10">
        <f>IF(B31='[1]Breakdown from VHM BOQ'!B35,'[1]Breakdown from VHM BOQ'!J35,"")</f>
        <v>332904</v>
      </c>
      <c r="H31" s="11">
        <f t="shared" si="1"/>
        <v>291623.90399999998</v>
      </c>
      <c r="I31" s="15"/>
      <c r="J31" s="16"/>
    </row>
    <row r="32" spans="1:10" ht="26.25">
      <c r="A32" s="8">
        <v>9</v>
      </c>
      <c r="B32" s="36" t="s">
        <v>38</v>
      </c>
      <c r="C32" s="38" t="s">
        <v>39</v>
      </c>
      <c r="D32" s="8">
        <v>2</v>
      </c>
      <c r="E32" s="34" t="s">
        <v>40</v>
      </c>
      <c r="F32" s="8" t="s">
        <v>16</v>
      </c>
      <c r="G32" s="10">
        <f>IF(B32='[1]Breakdown from VHM BOQ'!B36,'[1]Breakdown from VHM BOQ'!J36,"")</f>
        <v>37345</v>
      </c>
      <c r="H32" s="11">
        <f t="shared" si="1"/>
        <v>74690</v>
      </c>
      <c r="I32" s="15"/>
      <c r="J32" s="16"/>
    </row>
    <row r="33" spans="1:10" ht="26.25">
      <c r="A33" s="8">
        <v>10</v>
      </c>
      <c r="B33" s="39" t="s">
        <v>41</v>
      </c>
      <c r="C33" s="40" t="s">
        <v>42</v>
      </c>
      <c r="D33" s="8">
        <v>1.55</v>
      </c>
      <c r="E33" s="34" t="s">
        <v>30</v>
      </c>
      <c r="F33" s="8" t="s">
        <v>16</v>
      </c>
      <c r="G33" s="10">
        <f>IF(B33='[1]Breakdown from VHM BOQ'!B37,'[1]Breakdown from VHM BOQ'!J37,"")</f>
        <v>90695.000000000015</v>
      </c>
      <c r="H33" s="11">
        <f t="shared" si="1"/>
        <v>140577.25000000003</v>
      </c>
      <c r="I33" s="15"/>
      <c r="J33" s="16"/>
    </row>
    <row r="34" spans="1:10" s="26" customFormat="1" ht="39.4">
      <c r="A34" s="8">
        <v>11</v>
      </c>
      <c r="B34" s="36" t="s">
        <v>43</v>
      </c>
      <c r="C34" s="38" t="s">
        <v>44</v>
      </c>
      <c r="D34" s="8">
        <v>0.42099999999999999</v>
      </c>
      <c r="E34" s="34" t="s">
        <v>30</v>
      </c>
      <c r="F34" s="8" t="s">
        <v>16</v>
      </c>
      <c r="G34" s="10">
        <f>IF(B34='[1]Breakdown from VHM BOQ'!B38,'[1]Breakdown from VHM BOQ'!J38,"")</f>
        <v>101200.00000000001</v>
      </c>
      <c r="H34" s="11">
        <f t="shared" si="1"/>
        <v>42605.200000000004</v>
      </c>
      <c r="I34" s="65"/>
      <c r="J34" s="66"/>
    </row>
    <row r="35" spans="1:10" ht="15.75">
      <c r="A35" s="48" t="s">
        <v>47</v>
      </c>
      <c r="B35" s="50" t="s">
        <v>48</v>
      </c>
      <c r="C35" s="50"/>
      <c r="D35" s="52"/>
      <c r="E35" s="52"/>
      <c r="F35" s="53"/>
      <c r="G35" s="54"/>
      <c r="H35" s="51">
        <f>SUM(H36:H37)</f>
        <v>602855.00000000012</v>
      </c>
      <c r="I35" s="15"/>
      <c r="J35" s="16"/>
    </row>
    <row r="36" spans="1:10" ht="183.75">
      <c r="A36" s="8">
        <v>1</v>
      </c>
      <c r="B36" s="35" t="s">
        <v>49</v>
      </c>
      <c r="C36" s="33" t="s">
        <v>50</v>
      </c>
      <c r="D36" s="8">
        <f>0.2*(2.5+10)</f>
        <v>2.5</v>
      </c>
      <c r="E36" s="34" t="s">
        <v>30</v>
      </c>
      <c r="F36" s="8" t="s">
        <v>16</v>
      </c>
      <c r="G36" s="10">
        <f>IF(B36='[1]Breakdown from VHM BOQ'!B40,'[1]Breakdown from VHM BOQ'!J40,"")</f>
        <v>53350.000000000007</v>
      </c>
      <c r="H36" s="11">
        <f t="shared" ref="H36:H40" si="2">D36*G36</f>
        <v>133375.00000000003</v>
      </c>
      <c r="I36" s="15"/>
      <c r="J36" s="16"/>
    </row>
    <row r="37" spans="1:10" s="26" customFormat="1" ht="39.4">
      <c r="A37" s="8">
        <v>2</v>
      </c>
      <c r="B37" s="35" t="s">
        <v>51</v>
      </c>
      <c r="C37" s="33" t="s">
        <v>52</v>
      </c>
      <c r="D37" s="8">
        <v>2</v>
      </c>
      <c r="E37" s="34" t="s">
        <v>53</v>
      </c>
      <c r="F37" s="8" t="s">
        <v>16</v>
      </c>
      <c r="G37" s="10">
        <f>IF(B37='[1]Breakdown from VHM BOQ'!B41,'[1]Breakdown from VHM BOQ'!J41,"")</f>
        <v>234740.00000000003</v>
      </c>
      <c r="H37" s="11">
        <f t="shared" si="2"/>
        <v>469480.00000000006</v>
      </c>
      <c r="I37" s="65"/>
      <c r="J37" s="66"/>
    </row>
    <row r="38" spans="1:10" ht="15.75">
      <c r="A38" s="48" t="s">
        <v>54</v>
      </c>
      <c r="B38" s="50" t="s">
        <v>55</v>
      </c>
      <c r="C38" s="50"/>
      <c r="D38" s="52"/>
      <c r="E38" s="52"/>
      <c r="F38" s="53"/>
      <c r="G38" s="54"/>
      <c r="H38" s="54">
        <f>SUM(H39:H40)</f>
        <v>2566953.9500000002</v>
      </c>
      <c r="I38" s="15"/>
      <c r="J38" s="16"/>
    </row>
    <row r="39" spans="1:10">
      <c r="A39" s="8">
        <v>1</v>
      </c>
      <c r="B39" s="35" t="s">
        <v>56</v>
      </c>
      <c r="C39" s="33"/>
      <c r="D39" s="8">
        <v>1</v>
      </c>
      <c r="E39" s="34" t="s">
        <v>57</v>
      </c>
      <c r="F39" s="8" t="s">
        <v>16</v>
      </c>
      <c r="G39" s="10">
        <f>IF(B39='[1]Breakdown from VHM BOQ'!B43,'[1]Breakdown from VHM BOQ'!J43,"")</f>
        <v>1562000.0000000002</v>
      </c>
      <c r="H39" s="11">
        <f t="shared" si="2"/>
        <v>1562000.0000000002</v>
      </c>
      <c r="I39" s="15"/>
      <c r="J39" s="16"/>
    </row>
    <row r="40" spans="1:10" s="26" customFormat="1" ht="39.4">
      <c r="A40" s="8">
        <v>2</v>
      </c>
      <c r="B40" s="35" t="s">
        <v>58</v>
      </c>
      <c r="C40" s="33" t="s">
        <v>59</v>
      </c>
      <c r="D40" s="8">
        <v>1</v>
      </c>
      <c r="E40" s="34" t="s">
        <v>57</v>
      </c>
      <c r="F40" s="8" t="s">
        <v>16</v>
      </c>
      <c r="G40" s="10">
        <f>IF(B40='[1]Breakdown from VHM BOQ'!B44,'[1]Breakdown from VHM BOQ'!J44,"")</f>
        <v>1004953.95</v>
      </c>
      <c r="H40" s="11">
        <f t="shared" si="2"/>
        <v>1004953.95</v>
      </c>
      <c r="I40" s="65"/>
      <c r="J40" s="66"/>
    </row>
    <row r="41" spans="1:10" ht="15.75">
      <c r="A41" s="48" t="s">
        <v>60</v>
      </c>
      <c r="B41" s="50" t="s">
        <v>61</v>
      </c>
      <c r="C41" s="50"/>
      <c r="D41" s="52"/>
      <c r="E41" s="52"/>
      <c r="F41" s="53"/>
      <c r="G41" s="54"/>
      <c r="H41" s="51">
        <v>5548400</v>
      </c>
      <c r="I41" s="15"/>
      <c r="J41" s="16"/>
    </row>
    <row r="42" spans="1:10" s="26" customFormat="1" ht="26.25">
      <c r="A42" s="8">
        <v>1</v>
      </c>
      <c r="B42" s="41" t="s">
        <v>62</v>
      </c>
      <c r="C42" s="33"/>
      <c r="D42" s="8">
        <v>1</v>
      </c>
      <c r="E42" s="34" t="s">
        <v>63</v>
      </c>
      <c r="F42" s="8" t="s">
        <v>64</v>
      </c>
      <c r="G42" s="10">
        <f>IF(B42='[1]Breakdown from VHM BOQ'!B47,'[1]Breakdown from VHM BOQ'!J47,"")</f>
        <v>5548400</v>
      </c>
      <c r="H42" s="11">
        <f t="shared" ref="H42" si="3">D42*G42</f>
        <v>5548400</v>
      </c>
      <c r="I42" s="65"/>
      <c r="J42" s="66"/>
    </row>
    <row r="43" spans="1:10" ht="15.75">
      <c r="A43" s="48" t="s">
        <v>60</v>
      </c>
      <c r="B43" s="50" t="s">
        <v>65</v>
      </c>
      <c r="C43" s="50"/>
      <c r="D43" s="52"/>
      <c r="E43" s="52"/>
      <c r="F43" s="53"/>
      <c r="G43" s="54"/>
      <c r="H43" s="51">
        <f>H44</f>
        <v>1650000.0000000002</v>
      </c>
      <c r="I43" s="15"/>
      <c r="J43" s="16"/>
    </row>
    <row r="44" spans="1:10" s="26" customFormat="1" ht="15.75">
      <c r="A44" s="8">
        <v>1</v>
      </c>
      <c r="B44" s="41" t="s">
        <v>66</v>
      </c>
      <c r="C44" s="33"/>
      <c r="D44" s="8">
        <v>1</v>
      </c>
      <c r="E44" s="34" t="s">
        <v>53</v>
      </c>
      <c r="F44" s="8" t="s">
        <v>16</v>
      </c>
      <c r="G44" s="10">
        <f>1500000*1.1</f>
        <v>1650000.0000000002</v>
      </c>
      <c r="H44" s="11">
        <f>D44*G44</f>
        <v>1650000.0000000002</v>
      </c>
      <c r="I44" s="65"/>
      <c r="J44" s="66"/>
    </row>
    <row r="45" spans="1:10" ht="15.75">
      <c r="A45" s="48" t="s">
        <v>67</v>
      </c>
      <c r="B45" s="50" t="s">
        <v>68</v>
      </c>
      <c r="C45" s="50"/>
      <c r="D45" s="52"/>
      <c r="E45" s="52"/>
      <c r="F45" s="53"/>
      <c r="G45" s="54"/>
      <c r="H45" s="51">
        <f>SUM(H46:H47)</f>
        <v>3861000.0000000005</v>
      </c>
      <c r="I45" s="15"/>
      <c r="J45" s="16"/>
    </row>
    <row r="46" spans="1:10">
      <c r="A46" s="8">
        <v>4</v>
      </c>
      <c r="B46" s="42" t="s">
        <v>69</v>
      </c>
      <c r="C46" s="33"/>
      <c r="D46" s="8">
        <v>1</v>
      </c>
      <c r="E46" s="34" t="s">
        <v>53</v>
      </c>
      <c r="F46" s="8" t="s">
        <v>16</v>
      </c>
      <c r="G46" s="10">
        <f>IF(B46='[1]Breakdown from VHM BOQ'!B57,'[1]Breakdown from VHM BOQ'!J57,"")</f>
        <v>3201000.0000000005</v>
      </c>
      <c r="H46" s="11">
        <f t="shared" ref="H46:H47" si="4">D46*G46</f>
        <v>3201000.0000000005</v>
      </c>
      <c r="I46" s="15"/>
      <c r="J46" s="16"/>
    </row>
    <row r="47" spans="1:10" s="26" customFormat="1" ht="15.75">
      <c r="A47" s="8">
        <v>5</v>
      </c>
      <c r="B47" s="17" t="s">
        <v>70</v>
      </c>
      <c r="C47" s="33"/>
      <c r="D47" s="8">
        <v>6</v>
      </c>
      <c r="E47" s="34" t="s">
        <v>71</v>
      </c>
      <c r="F47" s="8" t="s">
        <v>16</v>
      </c>
      <c r="G47" s="10">
        <f>IF(B47='[1]Breakdown from VHM BOQ'!B58,'[1]Breakdown from VHM BOQ'!J58,"")</f>
        <v>110000.00000000001</v>
      </c>
      <c r="H47" s="11">
        <f t="shared" si="4"/>
        <v>660000.00000000012</v>
      </c>
      <c r="I47" s="65"/>
      <c r="J47" s="66"/>
    </row>
    <row r="48" spans="1:10" ht="15.75">
      <c r="A48" s="48" t="s">
        <v>72</v>
      </c>
      <c r="B48" s="57" t="s">
        <v>73</v>
      </c>
      <c r="C48" s="57"/>
      <c r="D48" s="52"/>
      <c r="E48" s="52"/>
      <c r="F48" s="53"/>
      <c r="G48" s="54"/>
      <c r="H48" s="51">
        <f>SUM(H49:H56)</f>
        <v>16953130.150000002</v>
      </c>
      <c r="I48" s="15"/>
      <c r="J48" s="16"/>
    </row>
    <row r="49" spans="1:10" ht="39.4">
      <c r="A49" s="8">
        <v>1</v>
      </c>
      <c r="B49" s="18" t="s">
        <v>74</v>
      </c>
      <c r="C49" s="33"/>
      <c r="D49" s="8">
        <v>25</v>
      </c>
      <c r="E49" s="34" t="s">
        <v>75</v>
      </c>
      <c r="F49" s="19" t="s">
        <v>76</v>
      </c>
      <c r="G49" s="10">
        <f>IF(B49='[1]Breakdown from VHM BOQ'!B60,'[1]Breakdown from VHM BOQ'!J60,"")</f>
        <v>86513.426999999996</v>
      </c>
      <c r="H49" s="11">
        <f t="shared" ref="H49:H57" si="5">D49*G49</f>
        <v>2162835.6749999998</v>
      </c>
      <c r="I49" s="15"/>
      <c r="J49" s="16"/>
    </row>
    <row r="50" spans="1:10" ht="39.4">
      <c r="A50" s="8">
        <v>2</v>
      </c>
      <c r="B50" s="18" t="s">
        <v>77</v>
      </c>
      <c r="C50" s="33"/>
      <c r="D50" s="8">
        <v>25</v>
      </c>
      <c r="E50" s="34" t="s">
        <v>75</v>
      </c>
      <c r="F50" s="19" t="s">
        <v>76</v>
      </c>
      <c r="G50" s="10">
        <f>IF(B50='[1]Breakdown from VHM BOQ'!B61,'[1]Breakdown from VHM BOQ'!J61,"")</f>
        <v>86513.426999999996</v>
      </c>
      <c r="H50" s="11">
        <f t="shared" si="5"/>
        <v>2162835.6749999998</v>
      </c>
      <c r="I50" s="15"/>
      <c r="J50" s="16"/>
    </row>
    <row r="51" spans="1:10" ht="39.4">
      <c r="A51" s="8">
        <v>3</v>
      </c>
      <c r="B51" s="18" t="s">
        <v>78</v>
      </c>
      <c r="C51" s="33"/>
      <c r="D51" s="8">
        <v>15</v>
      </c>
      <c r="E51" s="34" t="s">
        <v>75</v>
      </c>
      <c r="F51" s="19" t="s">
        <v>76</v>
      </c>
      <c r="G51" s="10">
        <f>IF(B51='[1]Breakdown from VHM BOQ'!B62,'[1]Breakdown from VHM BOQ'!J62,"")</f>
        <v>19800</v>
      </c>
      <c r="H51" s="11">
        <f t="shared" si="5"/>
        <v>297000</v>
      </c>
      <c r="I51" s="15"/>
      <c r="J51" s="16"/>
    </row>
    <row r="52" spans="1:10">
      <c r="A52" s="8">
        <v>16</v>
      </c>
      <c r="B52" s="17" t="s">
        <v>79</v>
      </c>
      <c r="C52" s="33"/>
      <c r="D52" s="8">
        <v>60</v>
      </c>
      <c r="E52" s="34" t="s">
        <v>75</v>
      </c>
      <c r="F52" s="8" t="s">
        <v>16</v>
      </c>
      <c r="G52" s="10">
        <f>43000*1.1</f>
        <v>47300.000000000007</v>
      </c>
      <c r="H52" s="11">
        <f t="shared" si="5"/>
        <v>2838000.0000000005</v>
      </c>
      <c r="I52" s="15"/>
      <c r="J52" s="16"/>
    </row>
    <row r="53" spans="1:10">
      <c r="A53" s="8">
        <v>17</v>
      </c>
      <c r="B53" s="17" t="s">
        <v>80</v>
      </c>
      <c r="C53" s="17" t="s">
        <v>81</v>
      </c>
      <c r="D53" s="8">
        <f>D52*0.6*0.9</f>
        <v>32.4</v>
      </c>
      <c r="E53" s="34" t="s">
        <v>26</v>
      </c>
      <c r="F53" s="8"/>
      <c r="G53" s="10">
        <f>IF(B53='[1]Breakdown from VHM BOQ'!B76,'[1]Breakdown from VHM BOQ'!J76,"")</f>
        <v>128040.00000000001</v>
      </c>
      <c r="H53" s="11">
        <f t="shared" si="5"/>
        <v>4148496.0000000005</v>
      </c>
      <c r="I53" s="15"/>
      <c r="J53" s="16"/>
    </row>
    <row r="54" spans="1:10">
      <c r="A54" s="8">
        <v>18</v>
      </c>
      <c r="B54" s="17" t="s">
        <v>82</v>
      </c>
      <c r="C54" s="17" t="s">
        <v>83</v>
      </c>
      <c r="D54" s="8">
        <f>D53*0.8</f>
        <v>25.92</v>
      </c>
      <c r="E54" s="34" t="s">
        <v>26</v>
      </c>
      <c r="F54" s="8"/>
      <c r="G54" s="10">
        <f>IF(B54='[1]Breakdown from VHM BOQ'!B77,'[1]Breakdown from VHM BOQ'!J77,"")</f>
        <v>154715</v>
      </c>
      <c r="H54" s="11">
        <f t="shared" si="5"/>
        <v>4010212.8000000003</v>
      </c>
      <c r="I54" s="15"/>
      <c r="J54" s="16"/>
    </row>
    <row r="55" spans="1:10">
      <c r="A55" s="8">
        <v>19</v>
      </c>
      <c r="B55" s="17" t="s">
        <v>84</v>
      </c>
      <c r="C55" s="17"/>
      <c r="D55" s="8">
        <f>D52</f>
        <v>60</v>
      </c>
      <c r="E55" s="34" t="s">
        <v>85</v>
      </c>
      <c r="F55" s="8"/>
      <c r="G55" s="10">
        <f>IF(B55='[1]Breakdown from VHM BOQ'!B78,'[1]Breakdown from VHM BOQ'!J78,"")</f>
        <v>16005.000000000002</v>
      </c>
      <c r="H55" s="11">
        <f t="shared" si="5"/>
        <v>960300.00000000012</v>
      </c>
      <c r="I55" s="15"/>
      <c r="J55" s="16"/>
    </row>
    <row r="56" spans="1:10" ht="138" customHeight="1">
      <c r="A56" s="8">
        <v>20</v>
      </c>
      <c r="B56" s="35" t="s">
        <v>86</v>
      </c>
      <c r="C56" s="33"/>
      <c r="D56" s="8">
        <v>1</v>
      </c>
      <c r="E56" s="34" t="s">
        <v>13</v>
      </c>
      <c r="F56" s="8" t="s">
        <v>16</v>
      </c>
      <c r="G56" s="10">
        <f>IF(B56='[1]Breakdown from VHM BOQ'!B79,'[1]Breakdown from VHM BOQ'!J79,"")</f>
        <v>373450.00000000006</v>
      </c>
      <c r="H56" s="11">
        <f t="shared" si="5"/>
        <v>373450.00000000006</v>
      </c>
      <c r="I56" s="15"/>
      <c r="J56" s="16"/>
    </row>
    <row r="57" spans="1:10" s="26" customFormat="1" ht="15.75">
      <c r="A57" s="48" t="s">
        <v>87</v>
      </c>
      <c r="B57" s="57" t="s">
        <v>88</v>
      </c>
      <c r="C57" s="57"/>
      <c r="D57" s="52">
        <v>1</v>
      </c>
      <c r="E57" s="52"/>
      <c r="F57" s="53"/>
      <c r="G57" s="58">
        <f>IF(B57='[1]Breakdown from VHM BOQ'!B80,'[1]Breakdown from VHM BOQ'!J80,"")</f>
        <v>1100000</v>
      </c>
      <c r="H57" s="51">
        <f t="shared" si="5"/>
        <v>1100000</v>
      </c>
      <c r="I57" s="65"/>
      <c r="J57" s="66"/>
    </row>
    <row r="58" spans="1:10" s="22" customFormat="1" ht="37.9" customHeight="1">
      <c r="A58" s="48" t="s">
        <v>22</v>
      </c>
      <c r="B58" s="50" t="s">
        <v>89</v>
      </c>
      <c r="C58" s="50"/>
      <c r="D58" s="50"/>
      <c r="E58" s="50"/>
      <c r="F58" s="50"/>
      <c r="G58" s="50"/>
      <c r="H58" s="64">
        <f>SUM(H8,H13,H25,H35,H38,H41,H43,H45,H48,H57)</f>
        <v>40130433.873945944</v>
      </c>
      <c r="I58" s="20"/>
      <c r="J58" s="21"/>
    </row>
  </sheetData>
  <mergeCells count="5">
    <mergeCell ref="A7:E7"/>
    <mergeCell ref="A1:B1"/>
    <mergeCell ref="A3:E3"/>
    <mergeCell ref="D6:E6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D4EA-C528-4CC9-8751-7CB88D9DC313}">
  <sheetPr>
    <tabColor theme="0"/>
  </sheetPr>
  <dimension ref="A1:J58"/>
  <sheetViews>
    <sheetView view="pageBreakPreview" zoomScale="70" zoomScaleNormal="70" zoomScaleSheetLayoutView="70" workbookViewId="0">
      <pane ySplit="6" topLeftCell="A56" activePane="bottomLeft" state="frozen"/>
      <selection activeCell="L79" sqref="L79"/>
      <selection pane="bottomLeft" activeCell="G5" sqref="G5:H5"/>
    </sheetView>
  </sheetViews>
  <sheetFormatPr defaultColWidth="9.53125" defaultRowHeight="13.15" outlineLevelCol="1"/>
  <cols>
    <col min="1" max="1" width="7.59765625" style="3" customWidth="1"/>
    <col min="2" max="2" width="30.59765625" style="32" customWidth="1"/>
    <col min="3" max="3" width="43.59765625" style="3" customWidth="1"/>
    <col min="4" max="4" width="8.59765625" style="2" customWidth="1"/>
    <col min="5" max="5" width="6.59765625" style="2" customWidth="1"/>
    <col min="6" max="6" width="13.59765625" style="3" customWidth="1"/>
    <col min="7" max="7" width="20.59765625" style="3" customWidth="1" outlineLevel="1"/>
    <col min="8" max="8" width="20.59765625" style="3" customWidth="1"/>
    <col min="9" max="9" width="11.796875" style="3" bestFit="1" customWidth="1"/>
    <col min="10" max="16384" width="9.53125" style="3"/>
  </cols>
  <sheetData>
    <row r="1" spans="1:10" ht="31.45" customHeight="1">
      <c r="A1" s="70" t="s">
        <v>0</v>
      </c>
      <c r="B1" s="70"/>
      <c r="C1" s="1"/>
    </row>
    <row r="2" spans="1:10">
      <c r="A2" s="4" t="s">
        <v>1</v>
      </c>
      <c r="B2" s="28"/>
      <c r="C2" s="5"/>
    </row>
    <row r="3" spans="1:10" ht="13.15" customHeight="1">
      <c r="A3" s="71" t="s">
        <v>2</v>
      </c>
      <c r="B3" s="71"/>
      <c r="C3" s="71"/>
      <c r="D3" s="71"/>
      <c r="E3" s="71"/>
      <c r="F3" s="6"/>
    </row>
    <row r="4" spans="1:10" ht="13.15" customHeight="1">
      <c r="B4" s="29"/>
      <c r="C4" s="4"/>
    </row>
    <row r="5" spans="1:10" ht="25.45" customHeight="1">
      <c r="B5" s="29"/>
      <c r="C5" s="4"/>
      <c r="G5" s="73" t="s">
        <v>153</v>
      </c>
      <c r="H5" s="74"/>
    </row>
    <row r="6" spans="1:10" s="7" customFormat="1" ht="16.149999999999999" thickBot="1">
      <c r="A6" s="43" t="s">
        <v>3</v>
      </c>
      <c r="B6" s="44" t="s">
        <v>4</v>
      </c>
      <c r="C6" s="43" t="s">
        <v>5</v>
      </c>
      <c r="D6" s="72"/>
      <c r="E6" s="72"/>
      <c r="F6" s="43" t="s">
        <v>7</v>
      </c>
      <c r="G6" s="45" t="s">
        <v>90</v>
      </c>
      <c r="H6" s="46" t="s">
        <v>91</v>
      </c>
    </row>
    <row r="7" spans="1:10">
      <c r="A7" s="67"/>
      <c r="B7" s="68"/>
      <c r="C7" s="69"/>
      <c r="D7" s="69"/>
      <c r="E7" s="69"/>
      <c r="F7" s="2"/>
    </row>
    <row r="8" spans="1:10" ht="31.5">
      <c r="A8" s="48" t="s">
        <v>10</v>
      </c>
      <c r="B8" s="49" t="s">
        <v>11</v>
      </c>
      <c r="C8" s="50"/>
      <c r="D8" s="48" t="s">
        <v>92</v>
      </c>
      <c r="E8" s="48" t="s">
        <v>13</v>
      </c>
      <c r="F8" s="50"/>
      <c r="G8" s="51"/>
      <c r="H8" s="51">
        <f>SUM(H9:H12)</f>
        <v>6936936.9369369429</v>
      </c>
    </row>
    <row r="9" spans="1:10">
      <c r="A9" s="8">
        <v>1</v>
      </c>
      <c r="B9" s="30" t="s">
        <v>14</v>
      </c>
      <c r="C9" s="9"/>
      <c r="D9" s="8">
        <v>33000</v>
      </c>
      <c r="E9" s="8" t="s">
        <v>15</v>
      </c>
      <c r="F9" s="8" t="s">
        <v>16</v>
      </c>
      <c r="G9" s="10">
        <f>IF(B9='[1]Breakdown from VHM BOQ'!B9,'[1]Breakdown from VHM BOQ'!K9,"")*1.1</f>
        <v>94.600000000000009</v>
      </c>
      <c r="H9" s="11">
        <f>D9*G9</f>
        <v>3121800.0000000005</v>
      </c>
    </row>
    <row r="10" spans="1:10">
      <c r="A10" s="8">
        <v>2</v>
      </c>
      <c r="B10" s="30" t="s">
        <v>17</v>
      </c>
      <c r="C10" s="9"/>
      <c r="D10" s="8">
        <v>33000</v>
      </c>
      <c r="E10" s="8" t="s">
        <v>15</v>
      </c>
      <c r="F10" s="8" t="s">
        <v>16</v>
      </c>
      <c r="G10" s="10">
        <f>IF(B10='[1]Breakdown from VHM BOQ'!B10,'[1]Breakdown from VHM BOQ'!K10,"")*1.1</f>
        <v>94.600000000000009</v>
      </c>
      <c r="H10" s="11">
        <f t="shared" ref="H10:H12" si="0">D10*G10</f>
        <v>3121800.0000000005</v>
      </c>
    </row>
    <row r="11" spans="1:10">
      <c r="A11" s="8">
        <v>3</v>
      </c>
      <c r="B11" s="30" t="s">
        <v>18</v>
      </c>
      <c r="C11" s="9"/>
      <c r="D11" s="8">
        <v>1</v>
      </c>
      <c r="E11" s="8" t="s">
        <v>13</v>
      </c>
      <c r="F11" s="8" t="s">
        <v>16</v>
      </c>
      <c r="G11" s="10">
        <f>IF(B11='[1]Breakdown from VHM BOQ'!B11,'[1]Breakdown from VHM BOQ'!K11,"")*1.1</f>
        <v>3656400.0000000005</v>
      </c>
      <c r="H11" s="11">
        <f t="shared" si="0"/>
        <v>3656400.0000000005</v>
      </c>
    </row>
    <row r="12" spans="1:10">
      <c r="A12" s="8"/>
      <c r="B12" s="31" t="s">
        <v>19</v>
      </c>
      <c r="C12" s="12"/>
      <c r="D12" s="13">
        <v>1</v>
      </c>
      <c r="E12" s="13"/>
      <c r="F12" s="13"/>
      <c r="G12" s="14">
        <f>-2693693.69369369*1.1</f>
        <v>-2963063.0630630595</v>
      </c>
      <c r="H12" s="11">
        <f t="shared" si="0"/>
        <v>-2963063.0630630595</v>
      </c>
    </row>
    <row r="13" spans="1:10" ht="15.75">
      <c r="A13" s="48" t="s">
        <v>20</v>
      </c>
      <c r="B13" s="49" t="s">
        <v>21</v>
      </c>
      <c r="C13" s="50"/>
      <c r="D13" s="52"/>
      <c r="E13" s="52"/>
      <c r="F13" s="53"/>
      <c r="G13" s="54"/>
      <c r="H13" s="51"/>
    </row>
    <row r="14" spans="1:10" ht="15.75">
      <c r="A14" s="48" t="s">
        <v>22</v>
      </c>
      <c r="B14" s="55" t="s">
        <v>23</v>
      </c>
      <c r="C14" s="50"/>
      <c r="D14" s="52"/>
      <c r="E14" s="52"/>
      <c r="F14" s="53"/>
      <c r="G14" s="54"/>
      <c r="H14" s="51">
        <f>SUM(H15:H24)</f>
        <v>786511.3629999999</v>
      </c>
    </row>
    <row r="15" spans="1:10" ht="78.75">
      <c r="A15" s="8">
        <v>1</v>
      </c>
      <c r="B15" s="36" t="s">
        <v>24</v>
      </c>
      <c r="C15" s="37" t="s">
        <v>25</v>
      </c>
      <c r="D15" s="8">
        <f>0.53*0.4*0.45</f>
        <v>9.5400000000000013E-2</v>
      </c>
      <c r="E15" s="34" t="s">
        <v>26</v>
      </c>
      <c r="F15" s="8" t="s">
        <v>16</v>
      </c>
      <c r="G15" s="10">
        <f>IF(B15='[1]Breakdown from VHM BOQ'!B15,'[1]Breakdown from VHM BOQ'!K15,"")</f>
        <v>138710</v>
      </c>
      <c r="H15" s="11">
        <f t="shared" ref="H15:H34" si="1">D15*G15</f>
        <v>13232.934000000001</v>
      </c>
      <c r="I15" s="15"/>
      <c r="J15" s="16"/>
    </row>
    <row r="16" spans="1:10" ht="78.75">
      <c r="A16" s="8">
        <v>4</v>
      </c>
      <c r="B16" s="36" t="s">
        <v>27</v>
      </c>
      <c r="C16" s="38" t="s">
        <v>28</v>
      </c>
      <c r="D16" s="8">
        <f>D15</f>
        <v>9.5400000000000013E-2</v>
      </c>
      <c r="E16" s="34" t="s">
        <v>26</v>
      </c>
      <c r="F16" s="8" t="s">
        <v>16</v>
      </c>
      <c r="G16" s="10">
        <f>IF(B16='[1]Breakdown from VHM BOQ'!B18,'[1]Breakdown from VHM BOQ'!K18,"")</f>
        <v>132000</v>
      </c>
      <c r="H16" s="11">
        <f t="shared" si="1"/>
        <v>12592.800000000001</v>
      </c>
      <c r="I16" s="15"/>
      <c r="J16" s="16"/>
    </row>
    <row r="17" spans="1:10">
      <c r="A17" s="8">
        <v>5</v>
      </c>
      <c r="B17" s="36" t="s">
        <v>29</v>
      </c>
      <c r="C17" s="38"/>
      <c r="D17" s="8">
        <f>D15/0.45</f>
        <v>0.21200000000000002</v>
      </c>
      <c r="E17" s="34" t="s">
        <v>30</v>
      </c>
      <c r="F17" s="8" t="s">
        <v>16</v>
      </c>
      <c r="G17" s="10">
        <f>IF(B17='[1]Breakdown from VHM BOQ'!B19,'[1]Breakdown from VHM BOQ'!K19,"")</f>
        <v>16005.000000000002</v>
      </c>
      <c r="H17" s="11">
        <f t="shared" si="1"/>
        <v>3393.0600000000009</v>
      </c>
      <c r="I17" s="15"/>
      <c r="J17" s="16"/>
    </row>
    <row r="18" spans="1:10" ht="26.25">
      <c r="A18" s="8">
        <v>6</v>
      </c>
      <c r="B18" s="36" t="s">
        <v>31</v>
      </c>
      <c r="C18" s="38" t="s">
        <v>32</v>
      </c>
      <c r="D18" s="8">
        <v>1.0600000000000002E-2</v>
      </c>
      <c r="E18" s="34" t="s">
        <v>26</v>
      </c>
      <c r="F18" s="8" t="s">
        <v>16</v>
      </c>
      <c r="G18" s="10">
        <f>IF(B18='[1]Breakdown from VHM BOQ'!B20,'[1]Breakdown from VHM BOQ'!K20,"")</f>
        <v>1333750</v>
      </c>
      <c r="H18" s="11">
        <f t="shared" si="1"/>
        <v>14137.750000000002</v>
      </c>
      <c r="I18" s="15"/>
      <c r="J18" s="16"/>
    </row>
    <row r="19" spans="1:10" ht="26.25">
      <c r="A19" s="8">
        <v>7</v>
      </c>
      <c r="B19" s="36" t="s">
        <v>33</v>
      </c>
      <c r="C19" s="38" t="s">
        <v>34</v>
      </c>
      <c r="D19" s="8">
        <v>7.7399999999999997E-2</v>
      </c>
      <c r="E19" s="34" t="s">
        <v>26</v>
      </c>
      <c r="F19" s="8" t="s">
        <v>16</v>
      </c>
      <c r="G19" s="10">
        <f>IF(B19='[1]Breakdown from VHM BOQ'!B21,'[1]Breakdown from VHM BOQ'!K21,"")</f>
        <v>1920600.0000000002</v>
      </c>
      <c r="H19" s="11">
        <f t="shared" si="1"/>
        <v>148654.44</v>
      </c>
      <c r="I19" s="15"/>
      <c r="J19" s="16"/>
    </row>
    <row r="20" spans="1:10" ht="26.25">
      <c r="A20" s="8">
        <v>8</v>
      </c>
      <c r="B20" s="39" t="s">
        <v>35</v>
      </c>
      <c r="C20" s="40" t="s">
        <v>36</v>
      </c>
      <c r="D20" s="8">
        <f>(0.2*2*0.43)+(0.2*2*0.3)</f>
        <v>0.29200000000000004</v>
      </c>
      <c r="E20" s="34" t="s">
        <v>30</v>
      </c>
      <c r="F20" s="8" t="s">
        <v>16</v>
      </c>
      <c r="G20" s="10">
        <f>IF(B20='[1]Breakdown from VHM BOQ'!B22,'[1]Breakdown from VHM BOQ'!K22,"")</f>
        <v>323400</v>
      </c>
      <c r="H20" s="11">
        <f t="shared" si="1"/>
        <v>94432.800000000017</v>
      </c>
      <c r="I20" s="15"/>
      <c r="J20" s="16"/>
    </row>
    <row r="21" spans="1:10" ht="39.4">
      <c r="A21" s="8">
        <v>9</v>
      </c>
      <c r="B21" s="39" t="s">
        <v>37</v>
      </c>
      <c r="C21" s="40" t="s">
        <v>36</v>
      </c>
      <c r="D21" s="8">
        <v>0.876</v>
      </c>
      <c r="E21" s="34" t="s">
        <v>30</v>
      </c>
      <c r="F21" s="8" t="s">
        <v>16</v>
      </c>
      <c r="G21" s="10">
        <f>IF(B21='[1]Breakdown from VHM BOQ'!B23,'[1]Breakdown from VHM BOQ'!K23,"")</f>
        <v>332904</v>
      </c>
      <c r="H21" s="11">
        <f t="shared" si="1"/>
        <v>291623.90399999998</v>
      </c>
      <c r="I21" s="15"/>
      <c r="J21" s="16"/>
    </row>
    <row r="22" spans="1:10" ht="26.25">
      <c r="A22" s="8">
        <v>10</v>
      </c>
      <c r="B22" s="36" t="s">
        <v>38</v>
      </c>
      <c r="C22" s="38" t="s">
        <v>39</v>
      </c>
      <c r="D22" s="8">
        <v>2</v>
      </c>
      <c r="E22" s="34" t="s">
        <v>40</v>
      </c>
      <c r="F22" s="8" t="s">
        <v>16</v>
      </c>
      <c r="G22" s="10">
        <f>IF(B22='[1]Breakdown from VHM BOQ'!B24,'[1]Breakdown from VHM BOQ'!K24,"")</f>
        <v>37345</v>
      </c>
      <c r="H22" s="11">
        <f t="shared" si="1"/>
        <v>74690</v>
      </c>
      <c r="I22" s="15"/>
      <c r="J22" s="16"/>
    </row>
    <row r="23" spans="1:10" ht="26.25">
      <c r="A23" s="8">
        <v>11</v>
      </c>
      <c r="B23" s="39" t="s">
        <v>41</v>
      </c>
      <c r="C23" s="40" t="s">
        <v>42</v>
      </c>
      <c r="D23" s="8">
        <f>(0.6*2*0.43)+(0.6*2*0.3)+0.3*0.43</f>
        <v>1.0049999999999999</v>
      </c>
      <c r="E23" s="34" t="s">
        <v>30</v>
      </c>
      <c r="F23" s="8" t="s">
        <v>16</v>
      </c>
      <c r="G23" s="10">
        <f>IF(B23='[1]Breakdown from VHM BOQ'!B25,'[1]Breakdown from VHM BOQ'!K25,"")</f>
        <v>90695.000000000015</v>
      </c>
      <c r="H23" s="11">
        <f t="shared" si="1"/>
        <v>91148.475000000006</v>
      </c>
      <c r="I23" s="15"/>
      <c r="J23" s="16"/>
    </row>
    <row r="24" spans="1:10" ht="39.4">
      <c r="A24" s="8">
        <v>12</v>
      </c>
      <c r="B24" s="36" t="s">
        <v>43</v>
      </c>
      <c r="C24" s="38" t="s">
        <v>44</v>
      </c>
      <c r="D24" s="8">
        <f>(0.2*2*0.43)+(0.2*2*0.3)+0.43*0.3</f>
        <v>0.42100000000000004</v>
      </c>
      <c r="E24" s="34" t="s">
        <v>30</v>
      </c>
      <c r="F24" s="8" t="s">
        <v>16</v>
      </c>
      <c r="G24" s="10">
        <f>IF(B24='[1]Breakdown from VHM BOQ'!B26,'[1]Breakdown from VHM BOQ'!K26,"")</f>
        <v>101200.00000000001</v>
      </c>
      <c r="H24" s="11">
        <f t="shared" si="1"/>
        <v>42605.200000000012</v>
      </c>
      <c r="I24" s="15"/>
      <c r="J24" s="16"/>
    </row>
    <row r="25" spans="1:10" ht="31.5">
      <c r="A25" s="48" t="s">
        <v>45</v>
      </c>
      <c r="B25" s="55" t="s">
        <v>93</v>
      </c>
      <c r="C25" s="50"/>
      <c r="D25" s="52"/>
      <c r="E25" s="52"/>
      <c r="F25" s="53"/>
      <c r="G25" s="54"/>
      <c r="H25" s="54">
        <f>SUM(H26:H34)</f>
        <v>1180171.828</v>
      </c>
      <c r="I25" s="15"/>
      <c r="J25" s="16"/>
    </row>
    <row r="26" spans="1:10" ht="78.75">
      <c r="A26" s="8">
        <v>1</v>
      </c>
      <c r="B26" s="36" t="s">
        <v>24</v>
      </c>
      <c r="C26" s="37" t="s">
        <v>25</v>
      </c>
      <c r="D26" s="8">
        <v>9.5400000000000013E-2</v>
      </c>
      <c r="E26" s="34" t="s">
        <v>26</v>
      </c>
      <c r="F26" s="8" t="s">
        <v>16</v>
      </c>
      <c r="G26" s="10">
        <f>IF(B26='[1]Breakdown from VHM BOQ'!B28,'[1]Breakdown from VHM BOQ'!K28,"")</f>
        <v>138710</v>
      </c>
      <c r="H26" s="11">
        <f t="shared" si="1"/>
        <v>13232.934000000001</v>
      </c>
      <c r="I26" s="15"/>
      <c r="J26" s="16"/>
    </row>
    <row r="27" spans="1:10" ht="78.75">
      <c r="A27" s="8">
        <v>4</v>
      </c>
      <c r="B27" s="36" t="s">
        <v>27</v>
      </c>
      <c r="C27" s="38" t="s">
        <v>28</v>
      </c>
      <c r="D27" s="8">
        <v>9.5400000000000013E-2</v>
      </c>
      <c r="E27" s="34" t="s">
        <v>26</v>
      </c>
      <c r="F27" s="8" t="s">
        <v>16</v>
      </c>
      <c r="G27" s="10">
        <f>IF(B27='[1]Breakdown from VHM BOQ'!B31,'[1]Breakdown from VHM BOQ'!K31,"")</f>
        <v>132000</v>
      </c>
      <c r="H27" s="11">
        <f t="shared" si="1"/>
        <v>12592.800000000001</v>
      </c>
      <c r="I27" s="15"/>
      <c r="J27" s="16"/>
    </row>
    <row r="28" spans="1:10" ht="26.25">
      <c r="A28" s="8">
        <v>5</v>
      </c>
      <c r="B28" s="36" t="s">
        <v>31</v>
      </c>
      <c r="C28" s="38" t="s">
        <v>32</v>
      </c>
      <c r="D28" s="8">
        <v>0.15</v>
      </c>
      <c r="E28" s="34" t="s">
        <v>26</v>
      </c>
      <c r="F28" s="8" t="s">
        <v>16</v>
      </c>
      <c r="G28" s="10">
        <f>IF(B28='[1]Breakdown from VHM BOQ'!B32,'[1]Breakdown from VHM BOQ'!K32,"")</f>
        <v>1333750</v>
      </c>
      <c r="H28" s="11">
        <f t="shared" si="1"/>
        <v>200062.5</v>
      </c>
      <c r="I28" s="15"/>
      <c r="J28" s="16"/>
    </row>
    <row r="29" spans="1:10" ht="26.25">
      <c r="A29" s="8">
        <v>6</v>
      </c>
      <c r="B29" s="36" t="s">
        <v>33</v>
      </c>
      <c r="C29" s="38" t="s">
        <v>34</v>
      </c>
      <c r="D29" s="8">
        <v>7.7399999999999997E-2</v>
      </c>
      <c r="E29" s="34" t="s">
        <v>26</v>
      </c>
      <c r="F29" s="8" t="s">
        <v>16</v>
      </c>
      <c r="G29" s="10">
        <f>IF(B29='[1]Breakdown from VHM BOQ'!B33,'[1]Breakdown from VHM BOQ'!K33,"")</f>
        <v>1920600.0000000002</v>
      </c>
      <c r="H29" s="11">
        <f t="shared" si="1"/>
        <v>148654.44</v>
      </c>
      <c r="I29" s="15"/>
      <c r="J29" s="16"/>
    </row>
    <row r="30" spans="1:10" ht="26.25">
      <c r="A30" s="8">
        <v>7</v>
      </c>
      <c r="B30" s="39" t="s">
        <v>35</v>
      </c>
      <c r="C30" s="40" t="s">
        <v>36</v>
      </c>
      <c r="D30" s="8">
        <v>0.79200000000000004</v>
      </c>
      <c r="E30" s="34" t="s">
        <v>30</v>
      </c>
      <c r="F30" s="8" t="s">
        <v>16</v>
      </c>
      <c r="G30" s="10">
        <f>IF(B30='[1]Breakdown from VHM BOQ'!B34,'[1]Breakdown from VHM BOQ'!K34,"")</f>
        <v>323400</v>
      </c>
      <c r="H30" s="11">
        <f t="shared" si="1"/>
        <v>256132.80000000002</v>
      </c>
      <c r="I30" s="15"/>
      <c r="J30" s="16"/>
    </row>
    <row r="31" spans="1:10" ht="39.4">
      <c r="A31" s="8">
        <v>8</v>
      </c>
      <c r="B31" s="39" t="s">
        <v>37</v>
      </c>
      <c r="C31" s="40" t="s">
        <v>36</v>
      </c>
      <c r="D31" s="8">
        <v>0.876</v>
      </c>
      <c r="E31" s="34" t="s">
        <v>30</v>
      </c>
      <c r="F31" s="8" t="s">
        <v>16</v>
      </c>
      <c r="G31" s="10">
        <f>IF(B31='[1]Breakdown from VHM BOQ'!B35,'[1]Breakdown from VHM BOQ'!K35,"")</f>
        <v>332904</v>
      </c>
      <c r="H31" s="11">
        <f t="shared" si="1"/>
        <v>291623.90399999998</v>
      </c>
      <c r="I31" s="15"/>
      <c r="J31" s="16"/>
    </row>
    <row r="32" spans="1:10" ht="26.25">
      <c r="A32" s="8">
        <v>9</v>
      </c>
      <c r="B32" s="36" t="s">
        <v>38</v>
      </c>
      <c r="C32" s="38" t="s">
        <v>39</v>
      </c>
      <c r="D32" s="8">
        <v>2</v>
      </c>
      <c r="E32" s="34" t="s">
        <v>40</v>
      </c>
      <c r="F32" s="8" t="s">
        <v>16</v>
      </c>
      <c r="G32" s="10">
        <f>IF(B32='[1]Breakdown from VHM BOQ'!B36,'[1]Breakdown from VHM BOQ'!K36,"")</f>
        <v>37345</v>
      </c>
      <c r="H32" s="11">
        <f t="shared" si="1"/>
        <v>74690</v>
      </c>
      <c r="I32" s="15"/>
      <c r="J32" s="16"/>
    </row>
    <row r="33" spans="1:10" ht="26.25">
      <c r="A33" s="8">
        <v>10</v>
      </c>
      <c r="B33" s="39" t="s">
        <v>41</v>
      </c>
      <c r="C33" s="40" t="s">
        <v>42</v>
      </c>
      <c r="D33" s="8">
        <v>1.55</v>
      </c>
      <c r="E33" s="34" t="s">
        <v>30</v>
      </c>
      <c r="F33" s="8" t="s">
        <v>16</v>
      </c>
      <c r="G33" s="10">
        <f>IF(B33='[1]Breakdown from VHM BOQ'!B37,'[1]Breakdown from VHM BOQ'!K37,"")</f>
        <v>90695.000000000015</v>
      </c>
      <c r="H33" s="11">
        <f t="shared" si="1"/>
        <v>140577.25000000003</v>
      </c>
      <c r="I33" s="15"/>
      <c r="J33" s="16"/>
    </row>
    <row r="34" spans="1:10" ht="39.4">
      <c r="A34" s="8">
        <v>11</v>
      </c>
      <c r="B34" s="36" t="s">
        <v>43</v>
      </c>
      <c r="C34" s="38" t="s">
        <v>44</v>
      </c>
      <c r="D34" s="8">
        <v>0.42099999999999999</v>
      </c>
      <c r="E34" s="34" t="s">
        <v>30</v>
      </c>
      <c r="F34" s="8" t="s">
        <v>16</v>
      </c>
      <c r="G34" s="10">
        <f>IF(B34='[1]Breakdown from VHM BOQ'!B38,'[1]Breakdown from VHM BOQ'!K38,"")</f>
        <v>101200.00000000001</v>
      </c>
      <c r="H34" s="11">
        <f t="shared" si="1"/>
        <v>42605.200000000004</v>
      </c>
      <c r="I34" s="15"/>
      <c r="J34" s="16"/>
    </row>
    <row r="35" spans="1:10" ht="15.75">
      <c r="A35" s="48" t="s">
        <v>47</v>
      </c>
      <c r="B35" s="49" t="s">
        <v>48</v>
      </c>
      <c r="C35" s="50"/>
      <c r="D35" s="52"/>
      <c r="E35" s="52"/>
      <c r="F35" s="53"/>
      <c r="G35" s="54"/>
      <c r="H35" s="51">
        <f>SUM(H36:H37)</f>
        <v>602855.00000000012</v>
      </c>
      <c r="I35" s="15"/>
      <c r="J35" s="16"/>
    </row>
    <row r="36" spans="1:10" ht="196.9">
      <c r="A36" s="8">
        <v>1</v>
      </c>
      <c r="B36" s="35" t="s">
        <v>49</v>
      </c>
      <c r="C36" s="33" t="s">
        <v>50</v>
      </c>
      <c r="D36" s="8">
        <v>2.5</v>
      </c>
      <c r="E36" s="34" t="s">
        <v>30</v>
      </c>
      <c r="F36" s="8" t="s">
        <v>16</v>
      </c>
      <c r="G36" s="10">
        <f>IF(B36='[1]Breakdown from VHM BOQ'!B40,'[1]Breakdown from VHM BOQ'!K40,"")</f>
        <v>53350.000000000007</v>
      </c>
      <c r="H36" s="11">
        <f t="shared" ref="H36:H40" si="2">D36*G36</f>
        <v>133375.00000000003</v>
      </c>
      <c r="I36" s="15"/>
      <c r="J36" s="16"/>
    </row>
    <row r="37" spans="1:10" ht="39.4">
      <c r="A37" s="8">
        <v>2</v>
      </c>
      <c r="B37" s="35" t="s">
        <v>51</v>
      </c>
      <c r="C37" s="33" t="s">
        <v>52</v>
      </c>
      <c r="D37" s="8">
        <v>2</v>
      </c>
      <c r="E37" s="34" t="s">
        <v>53</v>
      </c>
      <c r="F37" s="8" t="s">
        <v>16</v>
      </c>
      <c r="G37" s="10">
        <f>IF(B37='[1]Breakdown from VHM BOQ'!B41,'[1]Breakdown from VHM BOQ'!K41,"")</f>
        <v>234740.00000000003</v>
      </c>
      <c r="H37" s="11">
        <f t="shared" si="2"/>
        <v>469480.00000000006</v>
      </c>
      <c r="I37" s="15"/>
      <c r="J37" s="16"/>
    </row>
    <row r="38" spans="1:10" ht="15.75">
      <c r="A38" s="48" t="s">
        <v>54</v>
      </c>
      <c r="B38" s="49" t="s">
        <v>55</v>
      </c>
      <c r="C38" s="50"/>
      <c r="D38" s="52"/>
      <c r="E38" s="52"/>
      <c r="F38" s="53"/>
      <c r="G38" s="54"/>
      <c r="H38" s="54">
        <f>SUM(H39:H40)</f>
        <v>2566953.9500000002</v>
      </c>
      <c r="I38" s="15"/>
      <c r="J38" s="16"/>
    </row>
    <row r="39" spans="1:10">
      <c r="A39" s="8">
        <v>1</v>
      </c>
      <c r="B39" s="35" t="s">
        <v>56</v>
      </c>
      <c r="C39" s="33"/>
      <c r="D39" s="8">
        <v>1</v>
      </c>
      <c r="E39" s="34" t="s">
        <v>53</v>
      </c>
      <c r="F39" s="8" t="s">
        <v>16</v>
      </c>
      <c r="G39" s="10">
        <f>IF(B39='[1]Breakdown from VHM BOQ'!B43,'[1]Breakdown from VHM BOQ'!K43,"")</f>
        <v>1562000.0000000002</v>
      </c>
      <c r="H39" s="11">
        <f t="shared" si="2"/>
        <v>1562000.0000000002</v>
      </c>
      <c r="I39" s="15"/>
      <c r="J39" s="16"/>
    </row>
    <row r="40" spans="1:10" ht="39.4">
      <c r="A40" s="8">
        <v>2</v>
      </c>
      <c r="B40" s="35" t="s">
        <v>58</v>
      </c>
      <c r="C40" s="33" t="s">
        <v>59</v>
      </c>
      <c r="D40" s="8">
        <v>1</v>
      </c>
      <c r="E40" s="34" t="s">
        <v>53</v>
      </c>
      <c r="F40" s="8" t="s">
        <v>16</v>
      </c>
      <c r="G40" s="10">
        <f>IF(B40='[1]Breakdown from VHM BOQ'!B44,'[1]Breakdown from VHM BOQ'!K44,"")</f>
        <v>1004953.95</v>
      </c>
      <c r="H40" s="11">
        <f t="shared" si="2"/>
        <v>1004953.95</v>
      </c>
      <c r="I40" s="15"/>
      <c r="J40" s="16"/>
    </row>
    <row r="41" spans="1:10" ht="31.5">
      <c r="A41" s="48" t="s">
        <v>60</v>
      </c>
      <c r="B41" s="49" t="s">
        <v>61</v>
      </c>
      <c r="C41" s="50"/>
      <c r="D41" s="52"/>
      <c r="E41" s="52"/>
      <c r="F41" s="53"/>
      <c r="G41" s="54"/>
      <c r="H41" s="51">
        <f>(H42)</f>
        <v>6935500.0000000009</v>
      </c>
      <c r="I41" s="15"/>
      <c r="J41" s="16"/>
    </row>
    <row r="42" spans="1:10" ht="26.25">
      <c r="A42" s="8">
        <v>2</v>
      </c>
      <c r="B42" s="41" t="s">
        <v>94</v>
      </c>
      <c r="C42" s="33"/>
      <c r="D42" s="8">
        <v>1</v>
      </c>
      <c r="E42" s="34" t="s">
        <v>63</v>
      </c>
      <c r="F42" s="8" t="s">
        <v>64</v>
      </c>
      <c r="G42" s="10">
        <f>IF(B42='[1]Breakdown from VHM BOQ'!B48,'[1]Breakdown from VHM BOQ'!K48,"")</f>
        <v>6935500.0000000009</v>
      </c>
      <c r="H42" s="11">
        <f t="shared" ref="H42" si="3">D42*G42</f>
        <v>6935500.0000000009</v>
      </c>
      <c r="I42" s="15"/>
      <c r="J42" s="16"/>
    </row>
    <row r="43" spans="1:10" ht="15.75">
      <c r="A43" s="48" t="s">
        <v>60</v>
      </c>
      <c r="B43" s="49" t="s">
        <v>65</v>
      </c>
      <c r="C43" s="50"/>
      <c r="D43" s="52"/>
      <c r="E43" s="52"/>
      <c r="F43" s="53"/>
      <c r="G43" s="54"/>
      <c r="H43" s="51">
        <f>(H44)</f>
        <v>1650000.0000000002</v>
      </c>
      <c r="I43" s="15"/>
      <c r="J43" s="16"/>
    </row>
    <row r="44" spans="1:10">
      <c r="A44" s="8">
        <v>1</v>
      </c>
      <c r="B44" s="41" t="s">
        <v>95</v>
      </c>
      <c r="C44" s="33"/>
      <c r="D44" s="8">
        <v>1</v>
      </c>
      <c r="E44" s="34" t="s">
        <v>53</v>
      </c>
      <c r="F44" s="8" t="s">
        <v>16</v>
      </c>
      <c r="G44" s="10">
        <f>1.1*1500000</f>
        <v>1650000.0000000002</v>
      </c>
      <c r="H44" s="11">
        <f t="shared" ref="H44" si="4">D44*G44</f>
        <v>1650000.0000000002</v>
      </c>
      <c r="I44" s="15"/>
      <c r="J44" s="16"/>
    </row>
    <row r="45" spans="1:10" ht="15.75">
      <c r="A45" s="48" t="s">
        <v>67</v>
      </c>
      <c r="B45" s="49" t="s">
        <v>68</v>
      </c>
      <c r="C45" s="50"/>
      <c r="D45" s="52"/>
      <c r="E45" s="52"/>
      <c r="F45" s="53"/>
      <c r="G45" s="54"/>
      <c r="H45" s="51">
        <f>SUM(H46:H47)</f>
        <v>5461500</v>
      </c>
      <c r="I45" s="15"/>
      <c r="J45" s="16"/>
    </row>
    <row r="46" spans="1:10">
      <c r="A46" s="8">
        <v>3</v>
      </c>
      <c r="B46" s="42" t="s">
        <v>96</v>
      </c>
      <c r="C46" s="33"/>
      <c r="D46" s="8">
        <v>1</v>
      </c>
      <c r="E46" s="34" t="s">
        <v>53</v>
      </c>
      <c r="F46" s="8" t="s">
        <v>16</v>
      </c>
      <c r="G46" s="10">
        <f>IF(B46='[1]Breakdown from VHM BOQ'!B56,'[1]Breakdown from VHM BOQ'!K56,"")</f>
        <v>4801500</v>
      </c>
      <c r="H46" s="11">
        <f t="shared" ref="H46:H47" si="5">D46*G46</f>
        <v>4801500</v>
      </c>
      <c r="I46" s="15"/>
      <c r="J46" s="16"/>
    </row>
    <row r="47" spans="1:10">
      <c r="A47" s="8">
        <v>5</v>
      </c>
      <c r="B47" s="18" t="s">
        <v>70</v>
      </c>
      <c r="C47" s="33"/>
      <c r="D47" s="8">
        <v>6</v>
      </c>
      <c r="E47" s="34" t="s">
        <v>71</v>
      </c>
      <c r="F47" s="8" t="s">
        <v>16</v>
      </c>
      <c r="G47" s="10">
        <f>IF(B47='[1]Breakdown from VHM BOQ'!B58,'[1]Breakdown from VHM BOQ'!K58,"")</f>
        <v>110000.00000000001</v>
      </c>
      <c r="H47" s="11">
        <f t="shared" si="5"/>
        <v>660000.00000000012</v>
      </c>
      <c r="I47" s="15"/>
      <c r="J47" s="16"/>
    </row>
    <row r="48" spans="1:10" ht="31.5">
      <c r="A48" s="48" t="s">
        <v>72</v>
      </c>
      <c r="B48" s="56" t="s">
        <v>73</v>
      </c>
      <c r="C48" s="57"/>
      <c r="D48" s="52"/>
      <c r="E48" s="52"/>
      <c r="F48" s="53"/>
      <c r="G48" s="54"/>
      <c r="H48" s="51">
        <f>SUM(H49:H56)</f>
        <v>22800687.415000003</v>
      </c>
      <c r="I48" s="15"/>
      <c r="J48" s="16"/>
    </row>
    <row r="49" spans="1:10" ht="39.4">
      <c r="A49" s="8">
        <v>4</v>
      </c>
      <c r="B49" s="18" t="s">
        <v>97</v>
      </c>
      <c r="C49" s="33"/>
      <c r="D49" s="8">
        <v>25</v>
      </c>
      <c r="E49" s="34" t="s">
        <v>75</v>
      </c>
      <c r="F49" s="19" t="s">
        <v>76</v>
      </c>
      <c r="G49" s="10">
        <f>IF(B49='[1]Breakdown from VHM BOQ'!B63,'[1]Breakdown from VHM BOQ'!K63,"")</f>
        <v>176734.5723</v>
      </c>
      <c r="H49" s="11">
        <f t="shared" ref="H49:H57" si="6">D49*G49</f>
        <v>4418364.3075000001</v>
      </c>
      <c r="I49" s="15"/>
      <c r="J49" s="16"/>
    </row>
    <row r="50" spans="1:10" ht="39.4">
      <c r="A50" s="8">
        <v>5</v>
      </c>
      <c r="B50" s="18" t="s">
        <v>98</v>
      </c>
      <c r="C50" s="33"/>
      <c r="D50" s="8">
        <v>25</v>
      </c>
      <c r="E50" s="34" t="s">
        <v>75</v>
      </c>
      <c r="F50" s="19" t="s">
        <v>76</v>
      </c>
      <c r="G50" s="10">
        <f>IF(B50='[1]Breakdown from VHM BOQ'!B64,'[1]Breakdown from VHM BOQ'!K64,"")</f>
        <v>176734.5723</v>
      </c>
      <c r="H50" s="11">
        <f t="shared" si="6"/>
        <v>4418364.3075000001</v>
      </c>
      <c r="I50" s="15"/>
      <c r="J50" s="16"/>
    </row>
    <row r="51" spans="1:10" ht="39.4">
      <c r="A51" s="8">
        <v>6</v>
      </c>
      <c r="B51" s="18" t="s">
        <v>99</v>
      </c>
      <c r="C51" s="33"/>
      <c r="D51" s="8">
        <v>15</v>
      </c>
      <c r="E51" s="34" t="s">
        <v>75</v>
      </c>
      <c r="F51" s="19" t="s">
        <v>76</v>
      </c>
      <c r="G51" s="10">
        <f>IF(B51='[1]Breakdown from VHM BOQ'!B65,'[1]Breakdown from VHM BOQ'!K65,"")</f>
        <v>34100</v>
      </c>
      <c r="H51" s="11">
        <f t="shared" si="6"/>
        <v>511500</v>
      </c>
      <c r="I51" s="15"/>
      <c r="J51" s="16"/>
    </row>
    <row r="52" spans="1:10">
      <c r="A52" s="8">
        <v>15</v>
      </c>
      <c r="B52" s="18" t="s">
        <v>100</v>
      </c>
      <c r="C52" s="33"/>
      <c r="D52" s="8">
        <v>60</v>
      </c>
      <c r="E52" s="34" t="s">
        <v>75</v>
      </c>
      <c r="F52" s="8" t="s">
        <v>16</v>
      </c>
      <c r="G52" s="10">
        <f>60000*1.1</f>
        <v>66000</v>
      </c>
      <c r="H52" s="11">
        <f t="shared" si="6"/>
        <v>3960000</v>
      </c>
      <c r="I52" s="15"/>
      <c r="J52" s="16"/>
    </row>
    <row r="53" spans="1:10" ht="26.25">
      <c r="A53" s="8">
        <v>17</v>
      </c>
      <c r="B53" s="18" t="s">
        <v>80</v>
      </c>
      <c r="C53" s="17" t="s">
        <v>81</v>
      </c>
      <c r="D53" s="8">
        <f>D52*0.6*0.9</f>
        <v>32.4</v>
      </c>
      <c r="E53" s="34" t="s">
        <v>26</v>
      </c>
      <c r="F53" s="8"/>
      <c r="G53" s="10">
        <f>IF(B53='[1]Breakdown from VHM BOQ'!B76,'[1]Breakdown from VHM BOQ'!K76,"")</f>
        <v>128040.00000000001</v>
      </c>
      <c r="H53" s="11">
        <f t="shared" si="6"/>
        <v>4148496.0000000005</v>
      </c>
      <c r="I53" s="15"/>
      <c r="J53" s="16"/>
    </row>
    <row r="54" spans="1:10">
      <c r="A54" s="8">
        <v>18</v>
      </c>
      <c r="B54" s="18" t="s">
        <v>82</v>
      </c>
      <c r="C54" s="17" t="s">
        <v>83</v>
      </c>
      <c r="D54" s="8">
        <f t="shared" ref="D54" si="7">D53*0.8</f>
        <v>25.92</v>
      </c>
      <c r="E54" s="34" t="s">
        <v>26</v>
      </c>
      <c r="F54" s="8"/>
      <c r="G54" s="10">
        <f>IF(B54='[1]Breakdown from VHM BOQ'!B77,'[1]Breakdown from VHM BOQ'!K77,"")</f>
        <v>154715</v>
      </c>
      <c r="H54" s="11">
        <f t="shared" si="6"/>
        <v>4010212.8000000003</v>
      </c>
      <c r="I54" s="15"/>
      <c r="J54" s="16"/>
    </row>
    <row r="55" spans="1:10">
      <c r="A55" s="8">
        <v>19</v>
      </c>
      <c r="B55" s="18" t="s">
        <v>84</v>
      </c>
      <c r="C55" s="17"/>
      <c r="D55" s="8">
        <f>D52</f>
        <v>60</v>
      </c>
      <c r="E55" s="34" t="s">
        <v>101</v>
      </c>
      <c r="F55" s="8"/>
      <c r="G55" s="10">
        <f>IF(B55='[1]Breakdown from VHM BOQ'!B78,'[1]Breakdown from VHM BOQ'!K78,"")</f>
        <v>16005.000000000002</v>
      </c>
      <c r="H55" s="11">
        <f t="shared" si="6"/>
        <v>960300.00000000012</v>
      </c>
      <c r="I55" s="15"/>
      <c r="J55" s="16"/>
    </row>
    <row r="56" spans="1:10" ht="138" customHeight="1">
      <c r="A56" s="8">
        <v>20</v>
      </c>
      <c r="B56" s="35" t="s">
        <v>86</v>
      </c>
      <c r="C56" s="33"/>
      <c r="D56" s="8">
        <v>1</v>
      </c>
      <c r="E56" s="34" t="s">
        <v>13</v>
      </c>
      <c r="F56" s="8" t="s">
        <v>16</v>
      </c>
      <c r="G56" s="10">
        <f>IF(B56='[1]Breakdown from VHM BOQ'!B79,'[1]Breakdown from VHM BOQ'!K79,"")</f>
        <v>373450.00000000006</v>
      </c>
      <c r="H56" s="11">
        <f t="shared" si="6"/>
        <v>373450.00000000006</v>
      </c>
      <c r="I56" s="15"/>
      <c r="J56" s="16"/>
    </row>
    <row r="57" spans="1:10" ht="31.5">
      <c r="A57" s="48" t="s">
        <v>87</v>
      </c>
      <c r="B57" s="56" t="s">
        <v>88</v>
      </c>
      <c r="C57" s="57"/>
      <c r="D57" s="52">
        <v>1</v>
      </c>
      <c r="E57" s="52" t="s">
        <v>13</v>
      </c>
      <c r="F57" s="53"/>
      <c r="G57" s="58">
        <f>IF(B57='[1]Breakdown from VHM BOQ'!B80,'[1]Breakdown from VHM BOQ'!K80,"")</f>
        <v>1100000</v>
      </c>
      <c r="H57" s="51">
        <f t="shared" si="6"/>
        <v>1100000</v>
      </c>
      <c r="I57" s="15"/>
      <c r="J57" s="16"/>
    </row>
    <row r="58" spans="1:10" s="25" customFormat="1" ht="18">
      <c r="A58" s="48" t="s">
        <v>22</v>
      </c>
      <c r="B58" s="56" t="s">
        <v>102</v>
      </c>
      <c r="C58" s="57"/>
      <c r="D58" s="52"/>
      <c r="E58" s="52"/>
      <c r="F58" s="53"/>
      <c r="G58" s="58"/>
      <c r="H58" s="51">
        <f>SUM(H8,H14,H25,H35,H38,H41,H43,H45,H48,H57)</f>
        <v>50021116.492936946</v>
      </c>
      <c r="I58" s="23"/>
      <c r="J58" s="24"/>
    </row>
  </sheetData>
  <mergeCells count="5">
    <mergeCell ref="A7:E7"/>
    <mergeCell ref="A1:B1"/>
    <mergeCell ref="A3:E3"/>
    <mergeCell ref="D6:E6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65F7-2B62-41AC-8F19-301887C5E920}">
  <sheetPr>
    <tabColor theme="0"/>
  </sheetPr>
  <dimension ref="A1:J57"/>
  <sheetViews>
    <sheetView view="pageBreakPreview" zoomScale="70" zoomScaleNormal="70" zoomScaleSheetLayoutView="70" workbookViewId="0">
      <pane ySplit="6" topLeftCell="A7" activePane="bottomLeft" state="frozen"/>
      <selection activeCell="L79" sqref="L79"/>
      <selection pane="bottomLeft" activeCell="K15" sqref="K15"/>
    </sheetView>
  </sheetViews>
  <sheetFormatPr defaultColWidth="9.53125" defaultRowHeight="13.15" outlineLevelCol="1"/>
  <cols>
    <col min="1" max="1" width="7.59765625" style="3" customWidth="1"/>
    <col min="2" max="2" width="30.59765625" style="32" customWidth="1"/>
    <col min="3" max="3" width="43.59765625" style="3" customWidth="1"/>
    <col min="4" max="4" width="8.59765625" style="2" customWidth="1"/>
    <col min="5" max="5" width="6.59765625" style="2" customWidth="1"/>
    <col min="6" max="6" width="13.59765625" style="3" customWidth="1"/>
    <col min="7" max="7" width="20.59765625" style="3" customWidth="1" outlineLevel="1"/>
    <col min="8" max="8" width="20.59765625" style="3" customWidth="1"/>
    <col min="9" max="16384" width="9.53125" style="3"/>
  </cols>
  <sheetData>
    <row r="1" spans="1:10" ht="31.45" customHeight="1">
      <c r="A1" s="70" t="s">
        <v>0</v>
      </c>
      <c r="B1" s="70"/>
      <c r="C1" s="1"/>
    </row>
    <row r="2" spans="1:10">
      <c r="A2" s="4" t="s">
        <v>1</v>
      </c>
      <c r="B2" s="28"/>
      <c r="C2" s="5"/>
    </row>
    <row r="3" spans="1:10" ht="13.15" customHeight="1">
      <c r="A3" s="71" t="s">
        <v>2</v>
      </c>
      <c r="B3" s="71"/>
      <c r="C3" s="71"/>
      <c r="D3" s="71"/>
      <c r="E3" s="71"/>
      <c r="F3" s="6"/>
    </row>
    <row r="4" spans="1:10" ht="14.25" customHeight="1">
      <c r="B4" s="29"/>
      <c r="C4" s="4"/>
    </row>
    <row r="5" spans="1:10" ht="25.45" customHeight="1">
      <c r="B5" s="29"/>
      <c r="C5" s="4"/>
      <c r="G5" s="73" t="s">
        <v>153</v>
      </c>
      <c r="H5" s="74"/>
    </row>
    <row r="6" spans="1:10" s="7" customFormat="1" ht="16.149999999999999" thickBot="1">
      <c r="A6" s="43" t="s">
        <v>3</v>
      </c>
      <c r="B6" s="44" t="s">
        <v>4</v>
      </c>
      <c r="C6" s="43" t="s">
        <v>5</v>
      </c>
      <c r="D6" s="72"/>
      <c r="E6" s="72"/>
      <c r="F6" s="43" t="s">
        <v>7</v>
      </c>
      <c r="G6" s="45" t="s">
        <v>103</v>
      </c>
      <c r="H6" s="46" t="s">
        <v>104</v>
      </c>
    </row>
    <row r="7" spans="1:10" ht="31.5">
      <c r="A7" s="48" t="s">
        <v>10</v>
      </c>
      <c r="B7" s="49" t="s">
        <v>11</v>
      </c>
      <c r="C7" s="50"/>
      <c r="D7" s="48" t="s">
        <v>105</v>
      </c>
      <c r="E7" s="48" t="s">
        <v>13</v>
      </c>
      <c r="F7" s="50"/>
      <c r="G7" s="51"/>
      <c r="H7" s="51">
        <f>SUM(H8:H11)</f>
        <v>9909909.9099099115</v>
      </c>
    </row>
    <row r="8" spans="1:10">
      <c r="A8" s="8">
        <v>1</v>
      </c>
      <c r="B8" s="30" t="s">
        <v>14</v>
      </c>
      <c r="C8" s="9"/>
      <c r="D8" s="8">
        <v>66000</v>
      </c>
      <c r="E8" s="8" t="s">
        <v>15</v>
      </c>
      <c r="F8" s="8" t="s">
        <v>16</v>
      </c>
      <c r="G8" s="10">
        <f>IF(B8='[1]Breakdown from VHM BOQ'!B9,'[1]Breakdown from VHM BOQ'!L9,"")*1.1</f>
        <v>77</v>
      </c>
      <c r="H8" s="11">
        <f>D8*G8</f>
        <v>5082000</v>
      </c>
    </row>
    <row r="9" spans="1:10">
      <c r="A9" s="8">
        <v>2</v>
      </c>
      <c r="B9" s="30" t="s">
        <v>17</v>
      </c>
      <c r="C9" s="9"/>
      <c r="D9" s="8">
        <v>66000</v>
      </c>
      <c r="E9" s="8" t="s">
        <v>15</v>
      </c>
      <c r="F9" s="8" t="s">
        <v>16</v>
      </c>
      <c r="G9" s="10">
        <f>IF(B9='[1]Breakdown from VHM BOQ'!B10,'[1]Breakdown from VHM BOQ'!L10,"")*1.1</f>
        <v>77</v>
      </c>
      <c r="H9" s="11">
        <f t="shared" ref="H9:H10" si="0">D9*G9</f>
        <v>5082000</v>
      </c>
    </row>
    <row r="10" spans="1:10">
      <c r="A10" s="8">
        <v>3</v>
      </c>
      <c r="B10" s="30" t="s">
        <v>18</v>
      </c>
      <c r="C10" s="9"/>
      <c r="D10" s="8">
        <v>1</v>
      </c>
      <c r="E10" s="8" t="s">
        <v>13</v>
      </c>
      <c r="F10" s="8" t="s">
        <v>16</v>
      </c>
      <c r="G10" s="10">
        <f>IF(B10='[1]Breakdown from VHM BOQ'!B11,'[1]Breakdown from VHM BOQ'!L11,"")*1.1</f>
        <v>6212800.0000000009</v>
      </c>
      <c r="H10" s="11">
        <f t="shared" si="0"/>
        <v>6212800.0000000009</v>
      </c>
    </row>
    <row r="11" spans="1:10">
      <c r="A11" s="8"/>
      <c r="B11" s="31" t="s">
        <v>19</v>
      </c>
      <c r="C11" s="12"/>
      <c r="D11" s="13">
        <v>1</v>
      </c>
      <c r="E11" s="13"/>
      <c r="F11" s="13"/>
      <c r="G11" s="14">
        <f>-5878990.99099099*1.1</f>
        <v>-6466890.0900900895</v>
      </c>
      <c r="H11" s="11">
        <f>D11*G11</f>
        <v>-6466890.0900900895</v>
      </c>
    </row>
    <row r="12" spans="1:10" ht="15.75">
      <c r="A12" s="48" t="s">
        <v>20</v>
      </c>
      <c r="B12" s="49" t="s">
        <v>21</v>
      </c>
      <c r="C12" s="50"/>
      <c r="D12" s="52"/>
      <c r="E12" s="52"/>
      <c r="F12" s="53"/>
      <c r="G12" s="54"/>
      <c r="H12" s="51"/>
    </row>
    <row r="13" spans="1:10" ht="15.75">
      <c r="A13" s="48" t="s">
        <v>22</v>
      </c>
      <c r="B13" s="55" t="s">
        <v>23</v>
      </c>
      <c r="C13" s="50"/>
      <c r="D13" s="52"/>
      <c r="E13" s="52"/>
      <c r="F13" s="53"/>
      <c r="G13" s="54"/>
      <c r="H13" s="51">
        <f>SUM(H14:H23)</f>
        <v>2155786.9850000003</v>
      </c>
    </row>
    <row r="14" spans="1:10" ht="78.75">
      <c r="A14" s="8">
        <v>1</v>
      </c>
      <c r="B14" s="36" t="s">
        <v>24</v>
      </c>
      <c r="C14" s="37" t="s">
        <v>25</v>
      </c>
      <c r="D14" s="8">
        <f>0.95*0.8*0.45</f>
        <v>0.34200000000000003</v>
      </c>
      <c r="E14" s="34" t="s">
        <v>26</v>
      </c>
      <c r="F14" s="8" t="s">
        <v>16</v>
      </c>
      <c r="G14" s="10">
        <f>IF(B14='[1]Breakdown from VHM BOQ'!B15,'[1]Breakdown from VHM BOQ'!L15,"")</f>
        <v>138710</v>
      </c>
      <c r="H14" s="11">
        <f t="shared" ref="H14:H33" si="1">D14*G14</f>
        <v>47438.820000000007</v>
      </c>
      <c r="I14" s="15"/>
      <c r="J14" s="16"/>
    </row>
    <row r="15" spans="1:10" ht="78.75">
      <c r="A15" s="8">
        <v>4</v>
      </c>
      <c r="B15" s="36" t="s">
        <v>27</v>
      </c>
      <c r="C15" s="38" t="s">
        <v>28</v>
      </c>
      <c r="D15" s="8">
        <f>D14</f>
        <v>0.34200000000000003</v>
      </c>
      <c r="E15" s="34" t="s">
        <v>26</v>
      </c>
      <c r="F15" s="8" t="s">
        <v>16</v>
      </c>
      <c r="G15" s="10">
        <f>IF(B15='[1]Breakdown from VHM BOQ'!B18,'[1]Breakdown from VHM BOQ'!L18,"")</f>
        <v>132000</v>
      </c>
      <c r="H15" s="11">
        <f t="shared" si="1"/>
        <v>45144</v>
      </c>
      <c r="I15" s="15"/>
      <c r="J15" s="16"/>
    </row>
    <row r="16" spans="1:10">
      <c r="A16" s="8">
        <v>5</v>
      </c>
      <c r="B16" s="36" t="s">
        <v>29</v>
      </c>
      <c r="C16" s="38"/>
      <c r="D16" s="8">
        <f>D14/0.45</f>
        <v>0.76</v>
      </c>
      <c r="E16" s="34" t="s">
        <v>30</v>
      </c>
      <c r="F16" s="8" t="s">
        <v>16</v>
      </c>
      <c r="G16" s="10">
        <f>IF(B16='[1]Breakdown from VHM BOQ'!B19,'[1]Breakdown from VHM BOQ'!L19,"")</f>
        <v>16005.000000000002</v>
      </c>
      <c r="H16" s="11">
        <f t="shared" si="1"/>
        <v>12163.800000000001</v>
      </c>
      <c r="I16" s="15"/>
      <c r="J16" s="16"/>
    </row>
    <row r="17" spans="1:10" ht="26.25">
      <c r="A17" s="8">
        <v>6</v>
      </c>
      <c r="B17" s="36" t="s">
        <v>31</v>
      </c>
      <c r="C17" s="38" t="s">
        <v>32</v>
      </c>
      <c r="D17" s="8">
        <f>D16*0.05</f>
        <v>3.8000000000000006E-2</v>
      </c>
      <c r="E17" s="34" t="s">
        <v>26</v>
      </c>
      <c r="F17" s="8" t="s">
        <v>16</v>
      </c>
      <c r="G17" s="10">
        <f>IF(B17='[1]Breakdown from VHM BOQ'!B20,'[1]Breakdown from VHM BOQ'!L20,"")</f>
        <v>1333750</v>
      </c>
      <c r="H17" s="11">
        <f t="shared" si="1"/>
        <v>50682.500000000007</v>
      </c>
      <c r="I17" s="15"/>
      <c r="J17" s="16"/>
    </row>
    <row r="18" spans="1:10" ht="26.25">
      <c r="A18" s="8">
        <v>7</v>
      </c>
      <c r="B18" s="36" t="s">
        <v>33</v>
      </c>
      <c r="C18" s="38" t="s">
        <v>34</v>
      </c>
      <c r="D18" s="8">
        <f>0.6*0.85*0.7</f>
        <v>0.35699999999999998</v>
      </c>
      <c r="E18" s="34" t="s">
        <v>26</v>
      </c>
      <c r="F18" s="8" t="s">
        <v>16</v>
      </c>
      <c r="G18" s="10">
        <f>IF(B18='[1]Breakdown from VHM BOQ'!B21,'[1]Breakdown from VHM BOQ'!L21,"")</f>
        <v>1920600.0000000002</v>
      </c>
      <c r="H18" s="11">
        <f t="shared" si="1"/>
        <v>685654.20000000007</v>
      </c>
      <c r="I18" s="15"/>
      <c r="J18" s="16"/>
    </row>
    <row r="19" spans="1:10" ht="26.25">
      <c r="A19" s="8">
        <v>8</v>
      </c>
      <c r="B19" s="39" t="s">
        <v>35</v>
      </c>
      <c r="C19" s="40" t="s">
        <v>36</v>
      </c>
      <c r="D19" s="8">
        <f>(0.2*2*0.85)+(0.2*2*0.7)</f>
        <v>0.62</v>
      </c>
      <c r="E19" s="34" t="s">
        <v>30</v>
      </c>
      <c r="F19" s="8" t="s">
        <v>16</v>
      </c>
      <c r="G19" s="10">
        <f>IF(B19='[1]Breakdown from VHM BOQ'!B22,'[1]Breakdown from VHM BOQ'!L22,"")</f>
        <v>323400</v>
      </c>
      <c r="H19" s="11">
        <f t="shared" si="1"/>
        <v>200508</v>
      </c>
      <c r="I19" s="15"/>
      <c r="J19" s="16"/>
    </row>
    <row r="20" spans="1:10" ht="39.4">
      <c r="A20" s="8">
        <v>9</v>
      </c>
      <c r="B20" s="39" t="s">
        <v>37</v>
      </c>
      <c r="C20" s="40" t="s">
        <v>36</v>
      </c>
      <c r="D20" s="8">
        <v>1.8599999999999999</v>
      </c>
      <c r="E20" s="34" t="s">
        <v>30</v>
      </c>
      <c r="F20" s="8" t="s">
        <v>16</v>
      </c>
      <c r="G20" s="10">
        <f>IF(B20='[1]Breakdown from VHM BOQ'!B23,'[1]Breakdown from VHM BOQ'!L23,"")</f>
        <v>332904</v>
      </c>
      <c r="H20" s="11">
        <f t="shared" si="1"/>
        <v>619201.43999999994</v>
      </c>
      <c r="I20" s="15"/>
      <c r="J20" s="16"/>
    </row>
    <row r="21" spans="1:10" ht="26.25">
      <c r="A21" s="8">
        <v>10</v>
      </c>
      <c r="B21" s="36" t="s">
        <v>38</v>
      </c>
      <c r="C21" s="38" t="s">
        <v>39</v>
      </c>
      <c r="D21" s="8">
        <v>4</v>
      </c>
      <c r="E21" s="34" t="s">
        <v>40</v>
      </c>
      <c r="F21" s="8" t="s">
        <v>16</v>
      </c>
      <c r="G21" s="10">
        <f>IF(B21='[1]Breakdown from VHM BOQ'!B24,'[1]Breakdown from VHM BOQ'!L24,"")</f>
        <v>37345</v>
      </c>
      <c r="H21" s="11">
        <f t="shared" si="1"/>
        <v>149380</v>
      </c>
      <c r="I21" s="15"/>
      <c r="J21" s="16"/>
    </row>
    <row r="22" spans="1:10" ht="26.25">
      <c r="A22" s="8">
        <v>11</v>
      </c>
      <c r="B22" s="39" t="s">
        <v>41</v>
      </c>
      <c r="C22" s="40" t="s">
        <v>42</v>
      </c>
      <c r="D22" s="8">
        <f>(0.6*2*0.85)+(0.6*2*0.7)+0.85*0.7</f>
        <v>2.4550000000000001</v>
      </c>
      <c r="E22" s="34" t="s">
        <v>30</v>
      </c>
      <c r="F22" s="8" t="s">
        <v>16</v>
      </c>
      <c r="G22" s="10">
        <f>IF(B22='[1]Breakdown from VHM BOQ'!B25,'[1]Breakdown from VHM BOQ'!L25,"")</f>
        <v>90695.000000000015</v>
      </c>
      <c r="H22" s="11">
        <f t="shared" si="1"/>
        <v>222656.22500000003</v>
      </c>
      <c r="I22" s="15"/>
      <c r="J22" s="16"/>
    </row>
    <row r="23" spans="1:10" ht="39.4">
      <c r="A23" s="8">
        <v>12</v>
      </c>
      <c r="B23" s="36" t="s">
        <v>43</v>
      </c>
      <c r="C23" s="38" t="s">
        <v>44</v>
      </c>
      <c r="D23" s="8">
        <f>(0.2*2*0.85)+(0.2*2*0.7)+0.85*0.7</f>
        <v>1.2149999999999999</v>
      </c>
      <c r="E23" s="34" t="s">
        <v>30</v>
      </c>
      <c r="F23" s="8" t="s">
        <v>16</v>
      </c>
      <c r="G23" s="10">
        <f>IF(B23='[1]Breakdown from VHM BOQ'!B26,'[1]Breakdown from VHM BOQ'!L26,"")</f>
        <v>101200.00000000001</v>
      </c>
      <c r="H23" s="11">
        <f t="shared" si="1"/>
        <v>122958</v>
      </c>
      <c r="I23" s="15"/>
      <c r="J23" s="16"/>
    </row>
    <row r="24" spans="1:10" ht="31.5">
      <c r="A24" s="48" t="s">
        <v>45</v>
      </c>
      <c r="B24" s="55" t="s">
        <v>106</v>
      </c>
      <c r="C24" s="50"/>
      <c r="D24" s="52"/>
      <c r="E24" s="52"/>
      <c r="F24" s="53"/>
      <c r="G24" s="54"/>
      <c r="H24" s="54">
        <f>SUM(H25:H33)</f>
        <v>1168204.4000000001</v>
      </c>
      <c r="I24" s="15"/>
      <c r="J24" s="16"/>
    </row>
    <row r="25" spans="1:10" ht="78.75">
      <c r="A25" s="8">
        <v>1</v>
      </c>
      <c r="B25" s="36" t="s">
        <v>24</v>
      </c>
      <c r="C25" s="37" t="s">
        <v>25</v>
      </c>
      <c r="D25" s="8">
        <v>0.1</v>
      </c>
      <c r="E25" s="34" t="s">
        <v>26</v>
      </c>
      <c r="F25" s="8" t="s">
        <v>16</v>
      </c>
      <c r="G25" s="10">
        <f>IF(B25='[1]Breakdown from VHM BOQ'!B28,'[1]Breakdown from VHM BOQ'!L28,"")</f>
        <v>138710</v>
      </c>
      <c r="H25" s="11">
        <f t="shared" si="1"/>
        <v>13871</v>
      </c>
      <c r="I25" s="15"/>
      <c r="J25" s="16"/>
    </row>
    <row r="26" spans="1:10" ht="78.75">
      <c r="A26" s="8">
        <v>4</v>
      </c>
      <c r="B26" s="36" t="s">
        <v>27</v>
      </c>
      <c r="C26" s="38" t="s">
        <v>28</v>
      </c>
      <c r="D26" s="8">
        <v>0.34200000000000003</v>
      </c>
      <c r="E26" s="34" t="s">
        <v>26</v>
      </c>
      <c r="F26" s="8" t="s">
        <v>16</v>
      </c>
      <c r="G26" s="10">
        <f>IF(B26='[1]Breakdown from VHM BOQ'!B31,'[1]Breakdown from VHM BOQ'!L31,"")</f>
        <v>132000</v>
      </c>
      <c r="H26" s="11">
        <f t="shared" si="1"/>
        <v>45144</v>
      </c>
      <c r="I26" s="15"/>
      <c r="J26" s="16"/>
    </row>
    <row r="27" spans="1:10" ht="26.25">
      <c r="A27" s="8">
        <v>5</v>
      </c>
      <c r="B27" s="36" t="s">
        <v>31</v>
      </c>
      <c r="C27" s="38" t="s">
        <v>32</v>
      </c>
      <c r="D27" s="8">
        <v>3.8000000000000006E-2</v>
      </c>
      <c r="E27" s="34" t="s">
        <v>26</v>
      </c>
      <c r="F27" s="8" t="s">
        <v>16</v>
      </c>
      <c r="G27" s="10">
        <f>IF(B27='[1]Breakdown from VHM BOQ'!B32,'[1]Breakdown from VHM BOQ'!L32,"")</f>
        <v>1333750</v>
      </c>
      <c r="H27" s="11">
        <f t="shared" si="1"/>
        <v>50682.500000000007</v>
      </c>
      <c r="I27" s="15"/>
      <c r="J27" s="16"/>
    </row>
    <row r="28" spans="1:10" ht="26.25">
      <c r="A28" s="8">
        <v>6</v>
      </c>
      <c r="B28" s="36" t="s">
        <v>33</v>
      </c>
      <c r="C28" s="38" t="s">
        <v>34</v>
      </c>
      <c r="D28" s="8">
        <v>0.1</v>
      </c>
      <c r="E28" s="34" t="s">
        <v>26</v>
      </c>
      <c r="F28" s="8" t="s">
        <v>16</v>
      </c>
      <c r="G28" s="10">
        <f>IF(B28='[1]Breakdown from VHM BOQ'!B33,'[1]Breakdown from VHM BOQ'!L33,"")</f>
        <v>1920600.0000000002</v>
      </c>
      <c r="H28" s="11">
        <f t="shared" si="1"/>
        <v>192060.00000000003</v>
      </c>
      <c r="I28" s="15"/>
      <c r="J28" s="16"/>
    </row>
    <row r="29" spans="1:10" ht="26.25">
      <c r="A29" s="8">
        <v>7</v>
      </c>
      <c r="B29" s="39" t="s">
        <v>35</v>
      </c>
      <c r="C29" s="40" t="s">
        <v>36</v>
      </c>
      <c r="D29" s="8">
        <v>0.62</v>
      </c>
      <c r="E29" s="34" t="s">
        <v>30</v>
      </c>
      <c r="F29" s="8" t="s">
        <v>16</v>
      </c>
      <c r="G29" s="10">
        <f>IF(B29='[1]Breakdown from VHM BOQ'!B34,'[1]Breakdown from VHM BOQ'!L34,"")</f>
        <v>323400</v>
      </c>
      <c r="H29" s="11">
        <f t="shared" si="1"/>
        <v>200508</v>
      </c>
      <c r="I29" s="15"/>
      <c r="J29" s="16"/>
    </row>
    <row r="30" spans="1:10" ht="39.4">
      <c r="A30" s="8">
        <v>8</v>
      </c>
      <c r="B30" s="39" t="s">
        <v>37</v>
      </c>
      <c r="C30" s="40" t="s">
        <v>36</v>
      </c>
      <c r="D30" s="8">
        <v>1.1000000000000001</v>
      </c>
      <c r="E30" s="34" t="s">
        <v>30</v>
      </c>
      <c r="F30" s="8" t="s">
        <v>16</v>
      </c>
      <c r="G30" s="10">
        <f>IF(B30='[1]Breakdown from VHM BOQ'!B35,'[1]Breakdown from VHM BOQ'!L35,"")</f>
        <v>332904</v>
      </c>
      <c r="H30" s="11">
        <f t="shared" si="1"/>
        <v>366194.4</v>
      </c>
      <c r="I30" s="15"/>
      <c r="J30" s="16"/>
    </row>
    <row r="31" spans="1:10" ht="26.25">
      <c r="A31" s="8">
        <v>9</v>
      </c>
      <c r="B31" s="36" t="s">
        <v>38</v>
      </c>
      <c r="C31" s="38" t="s">
        <v>39</v>
      </c>
      <c r="D31" s="8">
        <v>4</v>
      </c>
      <c r="E31" s="34" t="s">
        <v>40</v>
      </c>
      <c r="F31" s="8" t="s">
        <v>16</v>
      </c>
      <c r="G31" s="10">
        <f>IF(B31='[1]Breakdown from VHM BOQ'!B36,'[1]Breakdown from VHM BOQ'!L36,"")</f>
        <v>37345</v>
      </c>
      <c r="H31" s="11">
        <f t="shared" si="1"/>
        <v>149380</v>
      </c>
      <c r="I31" s="15"/>
      <c r="J31" s="16"/>
    </row>
    <row r="32" spans="1:10" ht="26.25">
      <c r="A32" s="8">
        <v>10</v>
      </c>
      <c r="B32" s="39" t="s">
        <v>41</v>
      </c>
      <c r="C32" s="40" t="s">
        <v>42</v>
      </c>
      <c r="D32" s="8">
        <v>1.1000000000000001</v>
      </c>
      <c r="E32" s="34" t="s">
        <v>30</v>
      </c>
      <c r="F32" s="8" t="s">
        <v>16</v>
      </c>
      <c r="G32" s="10">
        <f>IF(B32='[1]Breakdown from VHM BOQ'!B37,'[1]Breakdown from VHM BOQ'!L37,"")</f>
        <v>90695.000000000015</v>
      </c>
      <c r="H32" s="11">
        <f t="shared" si="1"/>
        <v>99764.500000000029</v>
      </c>
      <c r="I32" s="15"/>
      <c r="J32" s="16"/>
    </row>
    <row r="33" spans="1:10" ht="39.4">
      <c r="A33" s="8">
        <v>11</v>
      </c>
      <c r="B33" s="36" t="s">
        <v>43</v>
      </c>
      <c r="C33" s="38" t="s">
        <v>44</v>
      </c>
      <c r="D33" s="8">
        <v>0.5</v>
      </c>
      <c r="E33" s="34" t="s">
        <v>30</v>
      </c>
      <c r="F33" s="8" t="s">
        <v>16</v>
      </c>
      <c r="G33" s="10">
        <f>IF(B33='[1]Breakdown from VHM BOQ'!B38,'[1]Breakdown from VHM BOQ'!L38,"")</f>
        <v>101200.00000000001</v>
      </c>
      <c r="H33" s="11">
        <f t="shared" si="1"/>
        <v>50600.000000000007</v>
      </c>
      <c r="I33" s="15"/>
      <c r="J33" s="16"/>
    </row>
    <row r="34" spans="1:10" ht="15.75">
      <c r="A34" s="48" t="s">
        <v>47</v>
      </c>
      <c r="B34" s="49" t="s">
        <v>48</v>
      </c>
      <c r="C34" s="50"/>
      <c r="D34" s="52"/>
      <c r="E34" s="52"/>
      <c r="F34" s="53"/>
      <c r="G34" s="54"/>
      <c r="H34" s="51">
        <f>SUM(H35:H36)</f>
        <v>1205710.0000000002</v>
      </c>
      <c r="I34" s="15"/>
      <c r="J34" s="16"/>
    </row>
    <row r="35" spans="1:10" ht="196.9">
      <c r="A35" s="8">
        <v>1</v>
      </c>
      <c r="B35" s="35" t="s">
        <v>49</v>
      </c>
      <c r="C35" s="33" t="s">
        <v>50</v>
      </c>
      <c r="D35" s="8">
        <v>5</v>
      </c>
      <c r="E35" s="34" t="s">
        <v>30</v>
      </c>
      <c r="F35" s="8" t="s">
        <v>16</v>
      </c>
      <c r="G35" s="10">
        <f>IF(B35='[1]Breakdown from VHM BOQ'!B40,'[1]Breakdown from VHM BOQ'!L40,"")</f>
        <v>53350.000000000007</v>
      </c>
      <c r="H35" s="11">
        <f t="shared" ref="H35:H39" si="2">D35*G35</f>
        <v>266750.00000000006</v>
      </c>
      <c r="I35" s="15"/>
      <c r="J35" s="16"/>
    </row>
    <row r="36" spans="1:10" ht="39.4">
      <c r="A36" s="8">
        <v>2</v>
      </c>
      <c r="B36" s="35" t="s">
        <v>51</v>
      </c>
      <c r="C36" s="33" t="s">
        <v>52</v>
      </c>
      <c r="D36" s="8">
        <v>4</v>
      </c>
      <c r="E36" s="34" t="s">
        <v>57</v>
      </c>
      <c r="F36" s="8" t="s">
        <v>16</v>
      </c>
      <c r="G36" s="10">
        <f>IF(B36='[1]Breakdown from VHM BOQ'!B41,'[1]Breakdown from VHM BOQ'!L41,"")</f>
        <v>234740.00000000003</v>
      </c>
      <c r="H36" s="11">
        <f t="shared" si="2"/>
        <v>938960.00000000012</v>
      </c>
      <c r="I36" s="15"/>
      <c r="J36" s="16"/>
    </row>
    <row r="37" spans="1:10" ht="15.75">
      <c r="A37" s="48" t="s">
        <v>54</v>
      </c>
      <c r="B37" s="49" t="s">
        <v>55</v>
      </c>
      <c r="C37" s="50"/>
      <c r="D37" s="52"/>
      <c r="E37" s="52"/>
      <c r="F37" s="53"/>
      <c r="G37" s="54"/>
      <c r="H37" s="54">
        <f>SUM(H38:H39)</f>
        <v>2566953.9500000002</v>
      </c>
      <c r="I37" s="15"/>
      <c r="J37" s="16"/>
    </row>
    <row r="38" spans="1:10">
      <c r="A38" s="8">
        <v>1</v>
      </c>
      <c r="B38" s="35" t="s">
        <v>56</v>
      </c>
      <c r="C38" s="33"/>
      <c r="D38" s="8">
        <v>1</v>
      </c>
      <c r="E38" s="34" t="s">
        <v>57</v>
      </c>
      <c r="F38" s="8" t="s">
        <v>16</v>
      </c>
      <c r="G38" s="10">
        <f>IF(B38='[1]Breakdown from VHM BOQ'!B43,'[1]Breakdown from VHM BOQ'!L43,"")</f>
        <v>1562000.0000000002</v>
      </c>
      <c r="H38" s="11">
        <f t="shared" si="2"/>
        <v>1562000.0000000002</v>
      </c>
      <c r="I38" s="15"/>
      <c r="J38" s="16"/>
    </row>
    <row r="39" spans="1:10" ht="39.4">
      <c r="A39" s="8">
        <v>2</v>
      </c>
      <c r="B39" s="35" t="s">
        <v>58</v>
      </c>
      <c r="C39" s="33" t="s">
        <v>59</v>
      </c>
      <c r="D39" s="8">
        <v>1</v>
      </c>
      <c r="E39" s="34" t="s">
        <v>57</v>
      </c>
      <c r="F39" s="8" t="s">
        <v>16</v>
      </c>
      <c r="G39" s="10">
        <f>IF(B39='[1]Breakdown from VHM BOQ'!B44,'[1]Breakdown from VHM BOQ'!L44,"")</f>
        <v>1004953.95</v>
      </c>
      <c r="H39" s="11">
        <f t="shared" si="2"/>
        <v>1004953.95</v>
      </c>
      <c r="I39" s="15"/>
      <c r="J39" s="16"/>
    </row>
    <row r="40" spans="1:10" ht="31.5">
      <c r="A40" s="48" t="s">
        <v>60</v>
      </c>
      <c r="B40" s="49" t="s">
        <v>61</v>
      </c>
      <c r="C40" s="50"/>
      <c r="D40" s="52"/>
      <c r="E40" s="52"/>
      <c r="F40" s="53"/>
      <c r="G40" s="54"/>
      <c r="H40" s="51">
        <f>SUM(H41)</f>
        <v>11737000.000000002</v>
      </c>
      <c r="I40" s="15"/>
      <c r="J40" s="16"/>
    </row>
    <row r="41" spans="1:10" ht="26.25">
      <c r="A41" s="8">
        <v>3</v>
      </c>
      <c r="B41" s="41" t="s">
        <v>107</v>
      </c>
      <c r="C41" s="33"/>
      <c r="D41" s="8">
        <v>1</v>
      </c>
      <c r="E41" s="34" t="s">
        <v>63</v>
      </c>
      <c r="F41" s="8" t="s">
        <v>64</v>
      </c>
      <c r="G41" s="10">
        <f>IF(B41='[1]Breakdown from VHM BOQ'!B49,'[1]Breakdown from VHM BOQ'!L49,"")</f>
        <v>11737000.000000002</v>
      </c>
      <c r="H41" s="11">
        <f t="shared" ref="H41" si="3">D41*G41</f>
        <v>11737000.000000002</v>
      </c>
      <c r="I41" s="15"/>
      <c r="J41" s="16"/>
    </row>
    <row r="42" spans="1:10" ht="15.75">
      <c r="A42" s="48" t="s">
        <v>60</v>
      </c>
      <c r="B42" s="49" t="s">
        <v>65</v>
      </c>
      <c r="C42" s="50"/>
      <c r="D42" s="52"/>
      <c r="E42" s="52"/>
      <c r="F42" s="53"/>
      <c r="G42" s="54"/>
      <c r="H42" s="51">
        <f>SUM(H43)</f>
        <v>1650000.0000000002</v>
      </c>
      <c r="I42" s="15"/>
      <c r="J42" s="16"/>
    </row>
    <row r="43" spans="1:10">
      <c r="A43" s="8">
        <v>1</v>
      </c>
      <c r="B43" s="41" t="s">
        <v>66</v>
      </c>
      <c r="C43" s="33"/>
      <c r="D43" s="8">
        <v>1</v>
      </c>
      <c r="E43" s="34" t="s">
        <v>53</v>
      </c>
      <c r="F43" s="8" t="s">
        <v>16</v>
      </c>
      <c r="G43" s="10">
        <f>1500000*1.1</f>
        <v>1650000.0000000002</v>
      </c>
      <c r="H43" s="11">
        <f t="shared" ref="H43" si="4">D43*G43</f>
        <v>1650000.0000000002</v>
      </c>
      <c r="I43" s="15"/>
      <c r="J43" s="16"/>
    </row>
    <row r="44" spans="1:10" ht="15.75">
      <c r="A44" s="48" t="s">
        <v>67</v>
      </c>
      <c r="B44" s="49" t="s">
        <v>68</v>
      </c>
      <c r="C44" s="50"/>
      <c r="D44" s="52"/>
      <c r="E44" s="52"/>
      <c r="F44" s="53"/>
      <c r="G44" s="54"/>
      <c r="H44" s="51">
        <f>SUM(H45:H46)</f>
        <v>7062000.0000000009</v>
      </c>
      <c r="I44" s="15"/>
      <c r="J44" s="16"/>
    </row>
    <row r="45" spans="1:10">
      <c r="A45" s="8">
        <v>2</v>
      </c>
      <c r="B45" s="42" t="s">
        <v>108</v>
      </c>
      <c r="C45" s="33"/>
      <c r="D45" s="8">
        <v>1</v>
      </c>
      <c r="E45" s="34" t="s">
        <v>53</v>
      </c>
      <c r="F45" s="8" t="s">
        <v>16</v>
      </c>
      <c r="G45" s="10">
        <f>IF(B45='[1]Breakdown from VHM BOQ'!B55,'[1]Breakdown from VHM BOQ'!L55,"")</f>
        <v>6402000.0000000009</v>
      </c>
      <c r="H45" s="11">
        <f t="shared" ref="H45:H46" si="5">D45*G45</f>
        <v>6402000.0000000009</v>
      </c>
      <c r="I45" s="15"/>
      <c r="J45" s="16"/>
    </row>
    <row r="46" spans="1:10">
      <c r="A46" s="8">
        <v>5</v>
      </c>
      <c r="B46" s="18" t="s">
        <v>70</v>
      </c>
      <c r="C46" s="33"/>
      <c r="D46" s="8">
        <v>6</v>
      </c>
      <c r="E46" s="34" t="s">
        <v>71</v>
      </c>
      <c r="F46" s="8" t="s">
        <v>16</v>
      </c>
      <c r="G46" s="10">
        <f>IF(B46='[1]Breakdown from VHM BOQ'!B58,'[1]Breakdown from VHM BOQ'!L58,"")</f>
        <v>110000.00000000001</v>
      </c>
      <c r="H46" s="11">
        <f t="shared" si="5"/>
        <v>660000.00000000012</v>
      </c>
      <c r="I46" s="15"/>
      <c r="J46" s="16"/>
    </row>
    <row r="47" spans="1:10" ht="31.5">
      <c r="A47" s="48" t="s">
        <v>72</v>
      </c>
      <c r="B47" s="56" t="s">
        <v>73</v>
      </c>
      <c r="C47" s="57"/>
      <c r="D47" s="52"/>
      <c r="E47" s="52"/>
      <c r="F47" s="53"/>
      <c r="G47" s="54"/>
      <c r="H47" s="51">
        <f>SUM(H48:H55)</f>
        <v>28681581.445000004</v>
      </c>
      <c r="I47" s="15"/>
      <c r="J47" s="16"/>
    </row>
    <row r="48" spans="1:10" ht="39.4">
      <c r="A48" s="8">
        <v>7</v>
      </c>
      <c r="B48" s="18" t="s">
        <v>109</v>
      </c>
      <c r="C48" s="33"/>
      <c r="D48" s="8">
        <v>20</v>
      </c>
      <c r="E48" s="34" t="s">
        <v>75</v>
      </c>
      <c r="F48" s="19" t="s">
        <v>76</v>
      </c>
      <c r="G48" s="10">
        <f>IF(B48='[1]Breakdown from VHM BOQ'!B66,'[1]Breakdown from VHM BOQ'!L66,"")</f>
        <v>291982.81612500007</v>
      </c>
      <c r="H48" s="11">
        <f>D48*G48</f>
        <v>5839656.3225000016</v>
      </c>
      <c r="I48" s="15"/>
      <c r="J48" s="16"/>
    </row>
    <row r="49" spans="1:10" ht="39.4">
      <c r="A49" s="8">
        <v>8</v>
      </c>
      <c r="B49" s="18" t="s">
        <v>110</v>
      </c>
      <c r="C49" s="33"/>
      <c r="D49" s="8">
        <v>20</v>
      </c>
      <c r="E49" s="34" t="s">
        <v>75</v>
      </c>
      <c r="F49" s="19" t="s">
        <v>76</v>
      </c>
      <c r="G49" s="10">
        <f>IF(B49='[1]Breakdown from VHM BOQ'!B67,'[1]Breakdown from VHM BOQ'!L67,"")</f>
        <v>291982.81612500007</v>
      </c>
      <c r="H49" s="11">
        <f>D49*G49</f>
        <v>5839656.3225000016</v>
      </c>
      <c r="I49" s="15"/>
      <c r="J49" s="16"/>
    </row>
    <row r="50" spans="1:10" ht="39.4">
      <c r="A50" s="8">
        <v>9</v>
      </c>
      <c r="B50" s="18" t="s">
        <v>111</v>
      </c>
      <c r="C50" s="33"/>
      <c r="D50" s="8">
        <v>15</v>
      </c>
      <c r="E50" s="34" t="s">
        <v>75</v>
      </c>
      <c r="F50" s="19" t="s">
        <v>76</v>
      </c>
      <c r="G50" s="10">
        <f>IF(B50='[1]Breakdown from VHM BOQ'!B68,'[1]Breakdown from VHM BOQ'!L68,"")</f>
        <v>61050.000000000007</v>
      </c>
      <c r="H50" s="11">
        <f>D50*G50</f>
        <v>915750.00000000012</v>
      </c>
      <c r="I50" s="15"/>
      <c r="J50" s="16"/>
    </row>
    <row r="51" spans="1:10">
      <c r="A51" s="8">
        <v>14</v>
      </c>
      <c r="B51" s="18" t="s">
        <v>112</v>
      </c>
      <c r="C51" s="33"/>
      <c r="D51" s="8">
        <v>60</v>
      </c>
      <c r="E51" s="34" t="s">
        <v>75</v>
      </c>
      <c r="F51" s="8" t="s">
        <v>16</v>
      </c>
      <c r="G51" s="10">
        <f>1.1*99910</f>
        <v>109901.00000000001</v>
      </c>
      <c r="H51" s="11">
        <f t="shared" ref="H51:H56" si="6">D51*G51</f>
        <v>6594060.0000000009</v>
      </c>
      <c r="I51" s="15"/>
      <c r="J51" s="16"/>
    </row>
    <row r="52" spans="1:10" ht="26.25">
      <c r="A52" s="8">
        <v>17</v>
      </c>
      <c r="B52" s="18" t="s">
        <v>80</v>
      </c>
      <c r="C52" s="17" t="s">
        <v>81</v>
      </c>
      <c r="D52" s="8">
        <f>D51*0.6*0.9</f>
        <v>32.4</v>
      </c>
      <c r="E52" s="34" t="s">
        <v>26</v>
      </c>
      <c r="F52" s="8"/>
      <c r="G52" s="10">
        <f>IF(B52='[1]Breakdown from VHM BOQ'!B76,'[1]Breakdown from VHM BOQ'!L76,"")</f>
        <v>128040.00000000001</v>
      </c>
      <c r="H52" s="11">
        <f t="shared" si="6"/>
        <v>4148496.0000000005</v>
      </c>
      <c r="I52" s="15"/>
      <c r="J52" s="16"/>
    </row>
    <row r="53" spans="1:10">
      <c r="A53" s="8">
        <v>18</v>
      </c>
      <c r="B53" s="18" t="s">
        <v>82</v>
      </c>
      <c r="C53" s="17" t="s">
        <v>83</v>
      </c>
      <c r="D53" s="8">
        <f t="shared" ref="D53" si="7">D52*0.8</f>
        <v>25.92</v>
      </c>
      <c r="E53" s="34" t="s">
        <v>26</v>
      </c>
      <c r="F53" s="8"/>
      <c r="G53" s="10">
        <f>IF(B53='[1]Breakdown from VHM BOQ'!B77,'[1]Breakdown from VHM BOQ'!L77,"")</f>
        <v>154715</v>
      </c>
      <c r="H53" s="11">
        <f t="shared" si="6"/>
        <v>4010212.8000000003</v>
      </c>
      <c r="I53" s="15"/>
      <c r="J53" s="16"/>
    </row>
    <row r="54" spans="1:10">
      <c r="A54" s="8">
        <v>19</v>
      </c>
      <c r="B54" s="18" t="s">
        <v>84</v>
      </c>
      <c r="C54" s="17"/>
      <c r="D54" s="8">
        <f>D51</f>
        <v>60</v>
      </c>
      <c r="E54" s="34" t="s">
        <v>85</v>
      </c>
      <c r="F54" s="8"/>
      <c r="G54" s="10">
        <f>IF(B54='[1]Breakdown from VHM BOQ'!B78,'[1]Breakdown from VHM BOQ'!L78,"")</f>
        <v>16005.000000000002</v>
      </c>
      <c r="H54" s="11">
        <f t="shared" si="6"/>
        <v>960300.00000000012</v>
      </c>
      <c r="I54" s="15"/>
      <c r="J54" s="16"/>
    </row>
    <row r="55" spans="1:10" ht="144.4">
      <c r="A55" s="8">
        <v>20</v>
      </c>
      <c r="B55" s="35" t="s">
        <v>86</v>
      </c>
      <c r="C55" s="33"/>
      <c r="D55" s="8">
        <v>1</v>
      </c>
      <c r="E55" s="34" t="s">
        <v>57</v>
      </c>
      <c r="F55" s="8" t="s">
        <v>16</v>
      </c>
      <c r="G55" s="10">
        <f>IF(B55='[1]Breakdown from VHM BOQ'!B79,'[1]Breakdown from VHM BOQ'!L79,"")</f>
        <v>373450.00000000006</v>
      </c>
      <c r="H55" s="11">
        <f>D55*G55</f>
        <v>373450.00000000006</v>
      </c>
      <c r="I55" s="15"/>
      <c r="J55" s="16"/>
    </row>
    <row r="56" spans="1:10" ht="31.5">
      <c r="A56" s="48" t="s">
        <v>87</v>
      </c>
      <c r="B56" s="56" t="s">
        <v>88</v>
      </c>
      <c r="C56" s="57"/>
      <c r="D56" s="52">
        <v>1</v>
      </c>
      <c r="E56" s="52"/>
      <c r="F56" s="53"/>
      <c r="G56" s="58">
        <f>IF(B56='[1]Breakdown from VHM BOQ'!B80,'[1]Breakdown from VHM BOQ'!L80,"")</f>
        <v>1100000</v>
      </c>
      <c r="H56" s="51">
        <f t="shared" si="6"/>
        <v>1100000</v>
      </c>
      <c r="I56" s="15"/>
      <c r="J56" s="16"/>
    </row>
    <row r="57" spans="1:10" ht="15.75">
      <c r="A57" s="48" t="s">
        <v>22</v>
      </c>
      <c r="B57" s="56" t="s">
        <v>102</v>
      </c>
      <c r="C57" s="57"/>
      <c r="D57" s="52"/>
      <c r="E57" s="52"/>
      <c r="F57" s="53"/>
      <c r="G57" s="58"/>
      <c r="H57" s="51">
        <f>SUM(H7,H13,H24,H34,H37,H40,H42,H44,H47,H56)</f>
        <v>67237146.68990992</v>
      </c>
      <c r="I57" s="15"/>
      <c r="J57" s="16"/>
    </row>
  </sheetData>
  <mergeCells count="4">
    <mergeCell ref="A1:B1"/>
    <mergeCell ref="A3:E3"/>
    <mergeCell ref="D6:E6"/>
    <mergeCell ref="G5:H5"/>
  </mergeCells>
  <pageMargins left="7.874015748031496E-2" right="7.874015748031496E-2" top="0.19685039370078741" bottom="0.19685039370078741" header="0.11811023622047245" footer="0.11811023622047245"/>
  <pageSetup paperSize="9" scale="6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C2DD-6EB5-40FA-A88C-B587899E2A0B}">
  <sheetPr>
    <tabColor theme="0"/>
  </sheetPr>
  <dimension ref="A1:I58"/>
  <sheetViews>
    <sheetView view="pageBreakPreview" zoomScale="70" zoomScaleNormal="70" zoomScaleSheetLayoutView="70" workbookViewId="0">
      <pane ySplit="6" topLeftCell="A7" activePane="bottomLeft" state="frozen"/>
      <selection activeCell="L79" sqref="L79"/>
      <selection pane="bottomLeft" activeCell="D10" sqref="D10:D12"/>
    </sheetView>
  </sheetViews>
  <sheetFormatPr defaultColWidth="9.53125" defaultRowHeight="13.15" outlineLevelCol="1"/>
  <cols>
    <col min="1" max="1" width="7.59765625" style="3" customWidth="1"/>
    <col min="2" max="2" width="31.19921875" style="3" customWidth="1"/>
    <col min="3" max="3" width="44" style="3" customWidth="1"/>
    <col min="4" max="4" width="8.46484375" style="2" bestFit="1" customWidth="1"/>
    <col min="5" max="5" width="6.53125" style="2" bestFit="1" customWidth="1"/>
    <col min="6" max="6" width="13.86328125" style="3" customWidth="1"/>
    <col min="7" max="7" width="20.59765625" style="3" customWidth="1" outlineLevel="1"/>
    <col min="8" max="8" width="20.59765625" style="3" customWidth="1"/>
    <col min="9" max="9" width="12.796875" style="3" bestFit="1" customWidth="1"/>
    <col min="10" max="16384" width="9.53125" style="3"/>
  </cols>
  <sheetData>
    <row r="1" spans="1:9" ht="31.45" customHeight="1">
      <c r="A1" s="70" t="s">
        <v>0</v>
      </c>
      <c r="B1" s="70"/>
      <c r="C1" s="1"/>
    </row>
    <row r="2" spans="1:9">
      <c r="A2" s="4" t="s">
        <v>1</v>
      </c>
      <c r="B2" s="5"/>
      <c r="C2" s="5"/>
    </row>
    <row r="3" spans="1:9" ht="13.15" customHeight="1">
      <c r="A3" s="71" t="s">
        <v>2</v>
      </c>
      <c r="B3" s="71"/>
      <c r="C3" s="71"/>
      <c r="D3" s="71"/>
      <c r="E3" s="71"/>
      <c r="F3" s="6"/>
    </row>
    <row r="4" spans="1:9" ht="13.15" customHeight="1">
      <c r="B4" s="4"/>
      <c r="C4" s="4"/>
    </row>
    <row r="5" spans="1:9" ht="25.45" customHeight="1">
      <c r="B5" s="4"/>
      <c r="C5" s="4"/>
      <c r="G5" s="73" t="s">
        <v>113</v>
      </c>
      <c r="H5" s="74"/>
    </row>
    <row r="6" spans="1:9" s="47" customFormat="1" ht="16.149999999999999" thickBot="1">
      <c r="A6" s="43" t="s">
        <v>3</v>
      </c>
      <c r="B6" s="43" t="s">
        <v>4</v>
      </c>
      <c r="C6" s="43" t="s">
        <v>5</v>
      </c>
      <c r="D6" s="72" t="s">
        <v>6</v>
      </c>
      <c r="E6" s="72"/>
      <c r="F6" s="43" t="s">
        <v>7</v>
      </c>
      <c r="G6" s="45" t="s">
        <v>8</v>
      </c>
      <c r="H6" s="46" t="s">
        <v>9</v>
      </c>
    </row>
    <row r="7" spans="1:9">
      <c r="A7" s="67"/>
      <c r="B7" s="68"/>
      <c r="C7" s="69"/>
      <c r="D7" s="69"/>
      <c r="E7" s="69"/>
      <c r="F7" s="2"/>
    </row>
    <row r="8" spans="1:9" s="26" customFormat="1" ht="15.75">
      <c r="A8" s="48" t="s">
        <v>10</v>
      </c>
      <c r="B8" s="50" t="s">
        <v>11</v>
      </c>
      <c r="C8" s="50"/>
      <c r="D8" s="48" t="s">
        <v>12</v>
      </c>
      <c r="E8" s="48" t="s">
        <v>13</v>
      </c>
      <c r="F8" s="50"/>
      <c r="G8" s="60"/>
      <c r="H8" s="51">
        <f>SUM(H9:H12)</f>
        <v>5405405.405405405</v>
      </c>
    </row>
    <row r="9" spans="1:9">
      <c r="A9" s="8">
        <v>1</v>
      </c>
      <c r="B9" s="9" t="s">
        <v>14</v>
      </c>
      <c r="C9" s="9"/>
      <c r="D9" s="8">
        <v>23000</v>
      </c>
      <c r="E9" s="8" t="s">
        <v>15</v>
      </c>
      <c r="F9" s="8" t="s">
        <v>16</v>
      </c>
      <c r="G9" s="10">
        <f>IF(B9='[2]Breakdown from VHM BOQ'!B9,'[2]Breakdown from VHM BOQ'!J9,"")</f>
        <v>86</v>
      </c>
      <c r="H9" s="11">
        <f>D9*G9</f>
        <v>1978000</v>
      </c>
    </row>
    <row r="10" spans="1:9">
      <c r="A10" s="8">
        <v>2</v>
      </c>
      <c r="B10" s="9" t="s">
        <v>17</v>
      </c>
      <c r="C10" s="9"/>
      <c r="D10" s="8">
        <v>23000</v>
      </c>
      <c r="E10" s="8" t="s">
        <v>15</v>
      </c>
      <c r="F10" s="8" t="s">
        <v>16</v>
      </c>
      <c r="G10" s="10">
        <f>IF(B10='[2]Breakdown from VHM BOQ'!B10,'[2]Breakdown from VHM BOQ'!J10,"")</f>
        <v>86</v>
      </c>
      <c r="H10" s="11">
        <f t="shared" ref="H10" si="0">D10*G10</f>
        <v>1978000</v>
      </c>
    </row>
    <row r="11" spans="1:9">
      <c r="A11" s="8">
        <v>3</v>
      </c>
      <c r="B11" s="9" t="s">
        <v>18</v>
      </c>
      <c r="C11" s="9"/>
      <c r="D11" s="8">
        <v>1</v>
      </c>
      <c r="E11" s="8" t="s">
        <v>13</v>
      </c>
      <c r="F11" s="8" t="s">
        <v>16</v>
      </c>
      <c r="G11" s="10">
        <f>IF(B11='[2]Breakdown from VHM BOQ'!B11,'[2]Breakdown from VHM BOQ'!J11,"")</f>
        <v>3044000</v>
      </c>
      <c r="H11" s="11">
        <f>D11*G11</f>
        <v>3044000</v>
      </c>
    </row>
    <row r="12" spans="1:9">
      <c r="A12" s="8"/>
      <c r="B12" s="12" t="s">
        <v>19</v>
      </c>
      <c r="C12" s="12"/>
      <c r="D12" s="13">
        <v>1</v>
      </c>
      <c r="E12" s="13"/>
      <c r="F12" s="13"/>
      <c r="G12" s="14">
        <v>-1594594.5945945953</v>
      </c>
      <c r="H12" s="11">
        <f>D12*G12</f>
        <v>-1594594.5945945953</v>
      </c>
      <c r="I12" s="15"/>
    </row>
    <row r="13" spans="1:9" s="26" customFormat="1" ht="15.75">
      <c r="A13" s="48" t="s">
        <v>20</v>
      </c>
      <c r="B13" s="50" t="s">
        <v>21</v>
      </c>
      <c r="C13" s="50"/>
      <c r="D13" s="52"/>
      <c r="E13" s="52"/>
      <c r="F13" s="53"/>
      <c r="G13" s="54"/>
      <c r="H13" s="51">
        <v>721977</v>
      </c>
    </row>
    <row r="14" spans="1:9" s="26" customFormat="1" ht="15.75">
      <c r="A14" s="48" t="s">
        <v>22</v>
      </c>
      <c r="B14" s="61" t="s">
        <v>23</v>
      </c>
      <c r="C14" s="50"/>
      <c r="D14" s="52"/>
      <c r="E14" s="52"/>
      <c r="F14" s="53"/>
      <c r="G14" s="54"/>
      <c r="H14" s="51">
        <f>SUM(H15:H24)</f>
        <v>721977</v>
      </c>
    </row>
    <row r="15" spans="1:9" ht="78.75">
      <c r="A15" s="8">
        <v>1</v>
      </c>
      <c r="B15" s="36" t="s">
        <v>24</v>
      </c>
      <c r="C15" s="37" t="s">
        <v>25</v>
      </c>
      <c r="D15" s="8">
        <v>1.52</v>
      </c>
      <c r="E15" s="34" t="s">
        <v>26</v>
      </c>
      <c r="F15" s="8" t="s">
        <v>16</v>
      </c>
      <c r="G15" s="10">
        <f>IF(B15='[2]Breakdown from VHM BOQ'!B15,'[2]Breakdown from VHM BOQ'!J15,"")</f>
        <v>126100</v>
      </c>
      <c r="H15" s="11">
        <f t="shared" ref="H15:H34" si="1">D15*G15</f>
        <v>191672</v>
      </c>
    </row>
    <row r="16" spans="1:9" ht="78.75">
      <c r="A16" s="8">
        <v>4</v>
      </c>
      <c r="B16" s="36" t="s">
        <v>27</v>
      </c>
      <c r="C16" s="38" t="s">
        <v>28</v>
      </c>
      <c r="D16" s="8">
        <v>1.49</v>
      </c>
      <c r="E16" s="34" t="s">
        <v>26</v>
      </c>
      <c r="F16" s="8" t="s">
        <v>16</v>
      </c>
      <c r="G16" s="10">
        <f>IF(B16='[2]Breakdown from VHM BOQ'!B18,'[2]Breakdown from VHM BOQ'!J18,"")</f>
        <v>120000</v>
      </c>
      <c r="H16" s="11">
        <f t="shared" si="1"/>
        <v>178800</v>
      </c>
    </row>
    <row r="17" spans="1:8">
      <c r="A17" s="8">
        <v>5</v>
      </c>
      <c r="B17" s="36" t="s">
        <v>29</v>
      </c>
      <c r="C17" s="38"/>
      <c r="D17" s="8">
        <v>0.12</v>
      </c>
      <c r="E17" s="34" t="s">
        <v>30</v>
      </c>
      <c r="F17" s="8" t="s">
        <v>16</v>
      </c>
      <c r="G17" s="10">
        <f>IF(B17='[2]Breakdown from VHM BOQ'!B19,'[2]Breakdown from VHM BOQ'!J19,"")</f>
        <v>14550</v>
      </c>
      <c r="H17" s="11">
        <f t="shared" si="1"/>
        <v>1746</v>
      </c>
    </row>
    <row r="18" spans="1:8" ht="26.25">
      <c r="A18" s="8">
        <v>6</v>
      </c>
      <c r="B18" s="36" t="s">
        <v>31</v>
      </c>
      <c r="C18" s="38" t="s">
        <v>32</v>
      </c>
      <c r="D18" s="8">
        <f>D17*0.05</f>
        <v>6.0000000000000001E-3</v>
      </c>
      <c r="E18" s="34" t="s">
        <v>26</v>
      </c>
      <c r="F18" s="8" t="s">
        <v>16</v>
      </c>
      <c r="G18" s="10">
        <f>IF(B18='[2]Breakdown from VHM BOQ'!B20,'[2]Breakdown from VHM BOQ'!J20,"")</f>
        <v>1212500</v>
      </c>
      <c r="H18" s="11">
        <f t="shared" si="1"/>
        <v>7275</v>
      </c>
    </row>
    <row r="19" spans="1:8" ht="26.25">
      <c r="A19" s="8">
        <v>7</v>
      </c>
      <c r="B19" s="36" t="s">
        <v>33</v>
      </c>
      <c r="C19" s="38" t="s">
        <v>34</v>
      </c>
      <c r="D19" s="8">
        <v>0.04</v>
      </c>
      <c r="E19" s="34" t="s">
        <v>26</v>
      </c>
      <c r="F19" s="8" t="s">
        <v>16</v>
      </c>
      <c r="G19" s="10">
        <f>IF(B19='[2]Breakdown from VHM BOQ'!B21,'[2]Breakdown from VHM BOQ'!J21,"")</f>
        <v>1746000</v>
      </c>
      <c r="H19" s="11">
        <f t="shared" si="1"/>
        <v>69840</v>
      </c>
    </row>
    <row r="20" spans="1:8" ht="26.25">
      <c r="A20" s="8">
        <v>8</v>
      </c>
      <c r="B20" s="39" t="s">
        <v>35</v>
      </c>
      <c r="C20" s="40" t="s">
        <v>36</v>
      </c>
      <c r="D20" s="8">
        <v>7.0000000000000007E-2</v>
      </c>
      <c r="E20" s="34" t="s">
        <v>30</v>
      </c>
      <c r="F20" s="8" t="s">
        <v>16</v>
      </c>
      <c r="G20" s="10">
        <f>IF(B20='[2]Breakdown from VHM BOQ'!B22,'[2]Breakdown from VHM BOQ'!J22,"")</f>
        <v>294000</v>
      </c>
      <c r="H20" s="11">
        <f t="shared" si="1"/>
        <v>20580.000000000004</v>
      </c>
    </row>
    <row r="21" spans="1:8" ht="39.4">
      <c r="A21" s="8">
        <v>9</v>
      </c>
      <c r="B21" s="39" t="s">
        <v>37</v>
      </c>
      <c r="C21" s="40" t="s">
        <v>36</v>
      </c>
      <c r="D21" s="8">
        <v>0.6</v>
      </c>
      <c r="E21" s="34" t="s">
        <v>30</v>
      </c>
      <c r="F21" s="8" t="s">
        <v>16</v>
      </c>
      <c r="G21" s="10">
        <f>IF(B21='[2]Breakdown from VHM BOQ'!B23,'[2]Breakdown from VHM BOQ'!J23,"")</f>
        <v>302640</v>
      </c>
      <c r="H21" s="11">
        <f t="shared" si="1"/>
        <v>181584</v>
      </c>
    </row>
    <row r="22" spans="1:8" ht="26.25">
      <c r="A22" s="8">
        <v>10</v>
      </c>
      <c r="B22" s="36" t="s">
        <v>38</v>
      </c>
      <c r="C22" s="38" t="s">
        <v>39</v>
      </c>
      <c r="D22" s="8">
        <v>0.74</v>
      </c>
      <c r="E22" s="34" t="s">
        <v>40</v>
      </c>
      <c r="F22" s="8" t="s">
        <v>16</v>
      </c>
      <c r="G22" s="10">
        <f>IF(B22='[2]Breakdown from VHM BOQ'!B24,'[2]Breakdown from VHM BOQ'!J24,"")</f>
        <v>33950</v>
      </c>
      <c r="H22" s="11">
        <f t="shared" si="1"/>
        <v>25123</v>
      </c>
    </row>
    <row r="23" spans="1:8" ht="26.25">
      <c r="A23" s="8">
        <v>11</v>
      </c>
      <c r="B23" s="39" t="s">
        <v>41</v>
      </c>
      <c r="C23" s="40" t="s">
        <v>42</v>
      </c>
      <c r="D23" s="8">
        <v>0.26</v>
      </c>
      <c r="E23" s="34" t="s">
        <v>30</v>
      </c>
      <c r="F23" s="8" t="s">
        <v>16</v>
      </c>
      <c r="G23" s="10">
        <f>IF(B23='[2]Breakdown from VHM BOQ'!B25,'[2]Breakdown from VHM BOQ'!J25,"")</f>
        <v>82450</v>
      </c>
      <c r="H23" s="11">
        <f t="shared" si="1"/>
        <v>21437</v>
      </c>
    </row>
    <row r="24" spans="1:8" ht="39.4">
      <c r="A24" s="8">
        <v>12</v>
      </c>
      <c r="B24" s="36" t="s">
        <v>43</v>
      </c>
      <c r="C24" s="38" t="s">
        <v>44</v>
      </c>
      <c r="D24" s="8">
        <v>0.26</v>
      </c>
      <c r="E24" s="34" t="s">
        <v>30</v>
      </c>
      <c r="F24" s="8" t="s">
        <v>16</v>
      </c>
      <c r="G24" s="10">
        <f>IF(B24='[2]Breakdown from VHM BOQ'!B26,'[2]Breakdown from VHM BOQ'!J26,"")</f>
        <v>92000</v>
      </c>
      <c r="H24" s="11">
        <f t="shared" si="1"/>
        <v>23920</v>
      </c>
    </row>
    <row r="25" spans="1:8" s="26" customFormat="1" ht="15.75">
      <c r="A25" s="48" t="s">
        <v>45</v>
      </c>
      <c r="B25" s="61" t="s">
        <v>46</v>
      </c>
      <c r="C25" s="50"/>
      <c r="D25" s="52"/>
      <c r="E25" s="52"/>
      <c r="F25" s="53"/>
      <c r="G25" s="54"/>
      <c r="H25" s="62">
        <f>SUM(H26:H34)</f>
        <v>1072883.48</v>
      </c>
    </row>
    <row r="26" spans="1:8" ht="78.75">
      <c r="A26" s="8">
        <v>1</v>
      </c>
      <c r="B26" s="36" t="s">
        <v>24</v>
      </c>
      <c r="C26" s="37" t="s">
        <v>25</v>
      </c>
      <c r="D26" s="8">
        <v>9.5400000000000013E-2</v>
      </c>
      <c r="E26" s="34" t="s">
        <v>26</v>
      </c>
      <c r="F26" s="8" t="s">
        <v>16</v>
      </c>
      <c r="G26" s="10">
        <f>IF(B26='[2]Breakdown from VHM BOQ'!B28,'[2]Breakdown from VHM BOQ'!J28,"")</f>
        <v>126100</v>
      </c>
      <c r="H26" s="11">
        <f>D26*G26</f>
        <v>12029.940000000002</v>
      </c>
    </row>
    <row r="27" spans="1:8" ht="78.75">
      <c r="A27" s="8">
        <v>4</v>
      </c>
      <c r="B27" s="36" t="s">
        <v>27</v>
      </c>
      <c r="C27" s="38" t="s">
        <v>28</v>
      </c>
      <c r="D27" s="8">
        <v>9.5400000000000013E-2</v>
      </c>
      <c r="E27" s="34" t="s">
        <v>26</v>
      </c>
      <c r="F27" s="8" t="s">
        <v>16</v>
      </c>
      <c r="G27" s="10">
        <f>IF(B27='[2]Breakdown from VHM BOQ'!B31,'[2]Breakdown from VHM BOQ'!J31,"")</f>
        <v>120000</v>
      </c>
      <c r="H27" s="11">
        <f t="shared" si="1"/>
        <v>11448.000000000002</v>
      </c>
    </row>
    <row r="28" spans="1:8" ht="26.25">
      <c r="A28" s="8">
        <v>5</v>
      </c>
      <c r="B28" s="36" t="s">
        <v>31</v>
      </c>
      <c r="C28" s="38" t="s">
        <v>32</v>
      </c>
      <c r="D28" s="8">
        <v>0.15</v>
      </c>
      <c r="E28" s="34" t="s">
        <v>26</v>
      </c>
      <c r="F28" s="8" t="s">
        <v>16</v>
      </c>
      <c r="G28" s="10">
        <f>IF(B28='[2]Breakdown from VHM BOQ'!B32,'[2]Breakdown from VHM BOQ'!J32,"")</f>
        <v>1212500</v>
      </c>
      <c r="H28" s="11">
        <f t="shared" si="1"/>
        <v>181875</v>
      </c>
    </row>
    <row r="29" spans="1:8" ht="26.25">
      <c r="A29" s="8">
        <v>6</v>
      </c>
      <c r="B29" s="36" t="s">
        <v>33</v>
      </c>
      <c r="C29" s="38" t="s">
        <v>34</v>
      </c>
      <c r="D29" s="8">
        <v>7.7399999999999997E-2</v>
      </c>
      <c r="E29" s="34" t="s">
        <v>26</v>
      </c>
      <c r="F29" s="8" t="s">
        <v>16</v>
      </c>
      <c r="G29" s="10">
        <f>IF(B29='[2]Breakdown from VHM BOQ'!B33,'[2]Breakdown from VHM BOQ'!J33,"")</f>
        <v>1746000</v>
      </c>
      <c r="H29" s="11">
        <f t="shared" si="1"/>
        <v>135140.4</v>
      </c>
    </row>
    <row r="30" spans="1:8" ht="26.25">
      <c r="A30" s="8">
        <v>7</v>
      </c>
      <c r="B30" s="39" t="s">
        <v>35</v>
      </c>
      <c r="C30" s="40" t="s">
        <v>36</v>
      </c>
      <c r="D30" s="8">
        <v>0.79200000000000004</v>
      </c>
      <c r="E30" s="34" t="s">
        <v>30</v>
      </c>
      <c r="F30" s="8" t="s">
        <v>16</v>
      </c>
      <c r="G30" s="10">
        <f>IF(B30='[2]Breakdown from VHM BOQ'!B34,'[2]Breakdown from VHM BOQ'!J34,"")</f>
        <v>294000</v>
      </c>
      <c r="H30" s="11">
        <f t="shared" si="1"/>
        <v>232848</v>
      </c>
    </row>
    <row r="31" spans="1:8" ht="39.4">
      <c r="A31" s="8">
        <v>8</v>
      </c>
      <c r="B31" s="39" t="s">
        <v>37</v>
      </c>
      <c r="C31" s="40" t="s">
        <v>36</v>
      </c>
      <c r="D31" s="8">
        <v>0.876</v>
      </c>
      <c r="E31" s="34" t="s">
        <v>30</v>
      </c>
      <c r="F31" s="8" t="s">
        <v>16</v>
      </c>
      <c r="G31" s="10">
        <f>IF(B31='[2]Breakdown from VHM BOQ'!B35,'[2]Breakdown from VHM BOQ'!J35,"")</f>
        <v>302640</v>
      </c>
      <c r="H31" s="11">
        <f t="shared" si="1"/>
        <v>265112.64</v>
      </c>
    </row>
    <row r="32" spans="1:8" ht="26.25">
      <c r="A32" s="8">
        <v>9</v>
      </c>
      <c r="B32" s="36" t="s">
        <v>38</v>
      </c>
      <c r="C32" s="38" t="s">
        <v>39</v>
      </c>
      <c r="D32" s="8">
        <v>2</v>
      </c>
      <c r="E32" s="34" t="s">
        <v>40</v>
      </c>
      <c r="F32" s="8" t="s">
        <v>16</v>
      </c>
      <c r="G32" s="10">
        <f>IF(B32='[2]Breakdown from VHM BOQ'!B36,'[2]Breakdown from VHM BOQ'!J36,"")</f>
        <v>33950</v>
      </c>
      <c r="H32" s="11">
        <f t="shared" si="1"/>
        <v>67900</v>
      </c>
    </row>
    <row r="33" spans="1:8" ht="26.25">
      <c r="A33" s="8">
        <v>10</v>
      </c>
      <c r="B33" s="39" t="s">
        <v>41</v>
      </c>
      <c r="C33" s="40" t="s">
        <v>42</v>
      </c>
      <c r="D33" s="8">
        <v>1.55</v>
      </c>
      <c r="E33" s="34" t="s">
        <v>30</v>
      </c>
      <c r="F33" s="8" t="s">
        <v>16</v>
      </c>
      <c r="G33" s="10">
        <f>IF(B33='[2]Breakdown from VHM BOQ'!B37,'[2]Breakdown from VHM BOQ'!J37,"")</f>
        <v>82450</v>
      </c>
      <c r="H33" s="11">
        <f t="shared" si="1"/>
        <v>127797.5</v>
      </c>
    </row>
    <row r="34" spans="1:8" ht="39.4">
      <c r="A34" s="8">
        <v>11</v>
      </c>
      <c r="B34" s="36" t="s">
        <v>43</v>
      </c>
      <c r="C34" s="38" t="s">
        <v>44</v>
      </c>
      <c r="D34" s="8">
        <v>0.42099999999999999</v>
      </c>
      <c r="E34" s="34" t="s">
        <v>30</v>
      </c>
      <c r="F34" s="8" t="s">
        <v>16</v>
      </c>
      <c r="G34" s="10">
        <f>IF(B34='[2]Breakdown from VHM BOQ'!B38,'[2]Breakdown from VHM BOQ'!J38,"")</f>
        <v>92000</v>
      </c>
      <c r="H34" s="11">
        <f t="shared" si="1"/>
        <v>38732</v>
      </c>
    </row>
    <row r="35" spans="1:8" s="63" customFormat="1" ht="15.75">
      <c r="A35" s="48" t="s">
        <v>47</v>
      </c>
      <c r="B35" s="50" t="s">
        <v>48</v>
      </c>
      <c r="C35" s="50"/>
      <c r="D35" s="52"/>
      <c r="E35" s="52"/>
      <c r="F35" s="53"/>
      <c r="G35" s="54"/>
      <c r="H35" s="51">
        <f>SUM(H36:H37)</f>
        <v>548050</v>
      </c>
    </row>
    <row r="36" spans="1:8" ht="183.75">
      <c r="A36" s="8">
        <v>1</v>
      </c>
      <c r="B36" s="35" t="s">
        <v>49</v>
      </c>
      <c r="C36" s="33" t="s">
        <v>50</v>
      </c>
      <c r="D36" s="8">
        <f>0.2*(2.5+10)</f>
        <v>2.5</v>
      </c>
      <c r="E36" s="34" t="s">
        <v>30</v>
      </c>
      <c r="F36" s="8" t="s">
        <v>16</v>
      </c>
      <c r="G36" s="10">
        <f>IF(B36='[2]Breakdown from VHM BOQ'!B40,'[2]Breakdown from VHM BOQ'!J40,"")</f>
        <v>48500</v>
      </c>
      <c r="H36" s="11">
        <f t="shared" ref="H36:H40" si="2">D36*G36</f>
        <v>121250</v>
      </c>
    </row>
    <row r="37" spans="1:8" ht="39.4">
      <c r="A37" s="8">
        <v>2</v>
      </c>
      <c r="B37" s="35" t="s">
        <v>51</v>
      </c>
      <c r="C37" s="33" t="s">
        <v>52</v>
      </c>
      <c r="D37" s="8">
        <v>2</v>
      </c>
      <c r="E37" s="34" t="s">
        <v>53</v>
      </c>
      <c r="F37" s="8" t="s">
        <v>16</v>
      </c>
      <c r="G37" s="10">
        <f>IF(B37='[2]Breakdown from VHM BOQ'!B41,'[2]Breakdown from VHM BOQ'!J41,"")</f>
        <v>213400</v>
      </c>
      <c r="H37" s="11">
        <f t="shared" si="2"/>
        <v>426800</v>
      </c>
    </row>
    <row r="38" spans="1:8" s="26" customFormat="1" ht="15.75">
      <c r="A38" s="48" t="s">
        <v>54</v>
      </c>
      <c r="B38" s="50" t="s">
        <v>55</v>
      </c>
      <c r="C38" s="50"/>
      <c r="D38" s="52"/>
      <c r="E38" s="52"/>
      <c r="F38" s="53"/>
      <c r="G38" s="54"/>
      <c r="H38" s="54">
        <f>SUM(H39:H40)</f>
        <v>2333594.5</v>
      </c>
    </row>
    <row r="39" spans="1:8">
      <c r="A39" s="8">
        <v>1</v>
      </c>
      <c r="B39" s="35" t="s">
        <v>56</v>
      </c>
      <c r="C39" s="33"/>
      <c r="D39" s="8">
        <v>1</v>
      </c>
      <c r="E39" s="34" t="s">
        <v>57</v>
      </c>
      <c r="F39" s="8" t="s">
        <v>16</v>
      </c>
      <c r="G39" s="10">
        <f>IF(B39='[2]Breakdown from VHM BOQ'!B43,'[2]Breakdown from VHM BOQ'!J43,"")</f>
        <v>1420000</v>
      </c>
      <c r="H39" s="11">
        <f t="shared" si="2"/>
        <v>1420000</v>
      </c>
    </row>
    <row r="40" spans="1:8" ht="39.4">
      <c r="A40" s="8">
        <v>2</v>
      </c>
      <c r="B40" s="35" t="s">
        <v>58</v>
      </c>
      <c r="C40" s="33" t="s">
        <v>59</v>
      </c>
      <c r="D40" s="8">
        <v>1</v>
      </c>
      <c r="E40" s="34" t="s">
        <v>57</v>
      </c>
      <c r="F40" s="8" t="s">
        <v>16</v>
      </c>
      <c r="G40" s="10">
        <f>IF(B40='[2]Breakdown from VHM BOQ'!B44,'[2]Breakdown from VHM BOQ'!J44,"")</f>
        <v>913594.49999999988</v>
      </c>
      <c r="H40" s="11">
        <f t="shared" si="2"/>
        <v>913594.49999999988</v>
      </c>
    </row>
    <row r="41" spans="1:8" s="26" customFormat="1" ht="15.75">
      <c r="A41" s="48" t="s">
        <v>60</v>
      </c>
      <c r="B41" s="50" t="s">
        <v>61</v>
      </c>
      <c r="C41" s="50"/>
      <c r="D41" s="52"/>
      <c r="E41" s="52"/>
      <c r="F41" s="53"/>
      <c r="G41" s="54"/>
      <c r="H41" s="51">
        <v>5044000</v>
      </c>
    </row>
    <row r="42" spans="1:8" ht="26.25">
      <c r="A42" s="8">
        <v>1</v>
      </c>
      <c r="B42" s="41" t="s">
        <v>62</v>
      </c>
      <c r="C42" s="33"/>
      <c r="D42" s="8">
        <v>1</v>
      </c>
      <c r="E42" s="34" t="s">
        <v>63</v>
      </c>
      <c r="F42" s="8" t="s">
        <v>64</v>
      </c>
      <c r="G42" s="10">
        <f>IF(B42='[2]Breakdown from VHM BOQ'!B47,'[2]Breakdown from VHM BOQ'!J47,"")</f>
        <v>5044000</v>
      </c>
      <c r="H42" s="11">
        <f t="shared" ref="H42" si="3">D42*G42</f>
        <v>5044000</v>
      </c>
    </row>
    <row r="43" spans="1:8" s="26" customFormat="1" ht="15.75">
      <c r="A43" s="48" t="s">
        <v>60</v>
      </c>
      <c r="B43" s="50" t="s">
        <v>65</v>
      </c>
      <c r="C43" s="50"/>
      <c r="D43" s="52"/>
      <c r="E43" s="52"/>
      <c r="F43" s="53"/>
      <c r="G43" s="54"/>
      <c r="H43" s="51">
        <v>1500000</v>
      </c>
    </row>
    <row r="44" spans="1:8">
      <c r="A44" s="8">
        <v>1</v>
      </c>
      <c r="B44" s="41" t="s">
        <v>66</v>
      </c>
      <c r="C44" s="33"/>
      <c r="D44" s="8">
        <v>1</v>
      </c>
      <c r="E44" s="34" t="s">
        <v>53</v>
      </c>
      <c r="F44" s="8" t="s">
        <v>16</v>
      </c>
      <c r="G44" s="10">
        <v>1500000</v>
      </c>
      <c r="H44" s="11">
        <f>D44*G44</f>
        <v>1500000</v>
      </c>
    </row>
    <row r="45" spans="1:8" s="26" customFormat="1" ht="15.75">
      <c r="A45" s="48" t="s">
        <v>67</v>
      </c>
      <c r="B45" s="50" t="s">
        <v>68</v>
      </c>
      <c r="C45" s="50"/>
      <c r="D45" s="52"/>
      <c r="E45" s="52"/>
      <c r="F45" s="53"/>
      <c r="G45" s="54"/>
      <c r="H45" s="51">
        <f>SUM(H46:H47)</f>
        <v>3510000</v>
      </c>
    </row>
    <row r="46" spans="1:8">
      <c r="A46" s="8">
        <v>4</v>
      </c>
      <c r="B46" s="42" t="s">
        <v>69</v>
      </c>
      <c r="C46" s="33"/>
      <c r="D46" s="8">
        <v>1</v>
      </c>
      <c r="E46" s="34" t="s">
        <v>53</v>
      </c>
      <c r="F46" s="8" t="s">
        <v>16</v>
      </c>
      <c r="G46" s="10">
        <f>IF(B46='[2]Breakdown from VHM BOQ'!B57,'[2]Breakdown from VHM BOQ'!J57,"")</f>
        <v>2910000</v>
      </c>
      <c r="H46" s="11">
        <f t="shared" ref="H46:H47" si="4">D46*G46</f>
        <v>2910000</v>
      </c>
    </row>
    <row r="47" spans="1:8">
      <c r="A47" s="8">
        <v>5</v>
      </c>
      <c r="B47" s="17" t="s">
        <v>70</v>
      </c>
      <c r="C47" s="33"/>
      <c r="D47" s="8">
        <v>6</v>
      </c>
      <c r="E47" s="34" t="s">
        <v>71</v>
      </c>
      <c r="F47" s="8" t="s">
        <v>16</v>
      </c>
      <c r="G47" s="10">
        <f>IF(B47='[2]Breakdown from VHM BOQ'!B58,'[2]Breakdown from VHM BOQ'!J58,"")</f>
        <v>100000</v>
      </c>
      <c r="H47" s="11">
        <f t="shared" si="4"/>
        <v>600000</v>
      </c>
    </row>
    <row r="48" spans="1:8" s="26" customFormat="1" ht="15.75">
      <c r="A48" s="48" t="s">
        <v>72</v>
      </c>
      <c r="B48" s="57" t="s">
        <v>73</v>
      </c>
      <c r="C48" s="57"/>
      <c r="D48" s="52"/>
      <c r="E48" s="52"/>
      <c r="F48" s="53"/>
      <c r="G48" s="54"/>
      <c r="H48" s="51">
        <f>SUM(H49:H56)</f>
        <v>15411936.5</v>
      </c>
    </row>
    <row r="49" spans="1:9" ht="39.4">
      <c r="A49" s="8">
        <v>1</v>
      </c>
      <c r="B49" s="18" t="s">
        <v>74</v>
      </c>
      <c r="C49" s="33"/>
      <c r="D49" s="8">
        <v>25</v>
      </c>
      <c r="E49" s="34" t="s">
        <v>75</v>
      </c>
      <c r="F49" s="19" t="s">
        <v>76</v>
      </c>
      <c r="G49" s="10">
        <f>IF(B49='[2]Breakdown from VHM BOQ'!B60,'[2]Breakdown from VHM BOQ'!J60,"")</f>
        <v>78648.569999999992</v>
      </c>
      <c r="H49" s="11">
        <f t="shared" ref="H49:H57" si="5">D49*G49</f>
        <v>1966214.2499999998</v>
      </c>
    </row>
    <row r="50" spans="1:9" ht="39.4">
      <c r="A50" s="8">
        <v>2</v>
      </c>
      <c r="B50" s="18" t="s">
        <v>77</v>
      </c>
      <c r="C50" s="33"/>
      <c r="D50" s="8">
        <v>25</v>
      </c>
      <c r="E50" s="34" t="s">
        <v>75</v>
      </c>
      <c r="F50" s="19" t="s">
        <v>76</v>
      </c>
      <c r="G50" s="10">
        <f>IF(B50='[2]Breakdown from VHM BOQ'!B61,'[2]Breakdown from VHM BOQ'!J61,"")</f>
        <v>78648.569999999992</v>
      </c>
      <c r="H50" s="11">
        <f t="shared" si="5"/>
        <v>1966214.2499999998</v>
      </c>
    </row>
    <row r="51" spans="1:9" ht="39.4">
      <c r="A51" s="8">
        <v>3</v>
      </c>
      <c r="B51" s="18" t="s">
        <v>78</v>
      </c>
      <c r="C51" s="33"/>
      <c r="D51" s="8">
        <v>15</v>
      </c>
      <c r="E51" s="34" t="s">
        <v>75</v>
      </c>
      <c r="F51" s="19" t="s">
        <v>76</v>
      </c>
      <c r="G51" s="10">
        <f>IF(B51='[2]Breakdown from VHM BOQ'!B62,'[2]Breakdown from VHM BOQ'!J62,"")</f>
        <v>18000</v>
      </c>
      <c r="H51" s="11">
        <f t="shared" si="5"/>
        <v>270000</v>
      </c>
    </row>
    <row r="52" spans="1:9">
      <c r="A52" s="8">
        <v>16</v>
      </c>
      <c r="B52" s="17" t="s">
        <v>79</v>
      </c>
      <c r="C52" s="33"/>
      <c r="D52" s="8">
        <v>60</v>
      </c>
      <c r="E52" s="34" t="s">
        <v>75</v>
      </c>
      <c r="F52" s="8" t="s">
        <v>16</v>
      </c>
      <c r="G52" s="10">
        <v>43000</v>
      </c>
      <c r="H52" s="11">
        <f t="shared" si="5"/>
        <v>2580000</v>
      </c>
    </row>
    <row r="53" spans="1:9">
      <c r="A53" s="8">
        <v>17</v>
      </c>
      <c r="B53" s="17" t="s">
        <v>80</v>
      </c>
      <c r="C53" s="17" t="s">
        <v>81</v>
      </c>
      <c r="D53" s="8">
        <f>D52*0.6*0.9</f>
        <v>32.4</v>
      </c>
      <c r="E53" s="34" t="s">
        <v>26</v>
      </c>
      <c r="F53" s="8"/>
      <c r="G53" s="10">
        <f>IF(B53='[2]Breakdown from VHM BOQ'!B76,'[2]Breakdown from VHM BOQ'!J76,"")</f>
        <v>116400</v>
      </c>
      <c r="H53" s="11">
        <f t="shared" si="5"/>
        <v>3771360</v>
      </c>
    </row>
    <row r="54" spans="1:9">
      <c r="A54" s="8">
        <v>18</v>
      </c>
      <c r="B54" s="17" t="s">
        <v>82</v>
      </c>
      <c r="C54" s="17" t="s">
        <v>83</v>
      </c>
      <c r="D54" s="8">
        <f>D53*0.8</f>
        <v>25.92</v>
      </c>
      <c r="E54" s="34" t="s">
        <v>26</v>
      </c>
      <c r="F54" s="8"/>
      <c r="G54" s="10">
        <f>IF(B54='[2]Breakdown from VHM BOQ'!B77,'[2]Breakdown from VHM BOQ'!J77,"")</f>
        <v>140650</v>
      </c>
      <c r="H54" s="11">
        <f t="shared" si="5"/>
        <v>3645648.0000000005</v>
      </c>
    </row>
    <row r="55" spans="1:9">
      <c r="A55" s="8">
        <v>19</v>
      </c>
      <c r="B55" s="17" t="s">
        <v>84</v>
      </c>
      <c r="C55" s="17"/>
      <c r="D55" s="8">
        <f>D52</f>
        <v>60</v>
      </c>
      <c r="E55" s="34" t="s">
        <v>85</v>
      </c>
      <c r="F55" s="8"/>
      <c r="G55" s="10">
        <f>IF(B55='[2]Breakdown from VHM BOQ'!B78,'[2]Breakdown from VHM BOQ'!J78,"")</f>
        <v>14550</v>
      </c>
      <c r="H55" s="11">
        <f t="shared" si="5"/>
        <v>873000</v>
      </c>
    </row>
    <row r="56" spans="1:9" ht="138" customHeight="1">
      <c r="A56" s="8">
        <v>20</v>
      </c>
      <c r="B56" s="35" t="s">
        <v>86</v>
      </c>
      <c r="C56" s="33"/>
      <c r="D56" s="8">
        <v>1</v>
      </c>
      <c r="E56" s="34" t="s">
        <v>13</v>
      </c>
      <c r="F56" s="8" t="s">
        <v>16</v>
      </c>
      <c r="G56" s="10">
        <f>IF(B56='[2]Breakdown from VHM BOQ'!B79,'[2]Breakdown from VHM BOQ'!J79,"")</f>
        <v>339500</v>
      </c>
      <c r="H56" s="11">
        <f t="shared" si="5"/>
        <v>339500</v>
      </c>
    </row>
    <row r="57" spans="1:9" s="26" customFormat="1" ht="15.75">
      <c r="A57" s="48" t="s">
        <v>87</v>
      </c>
      <c r="B57" s="57" t="s">
        <v>88</v>
      </c>
      <c r="C57" s="57"/>
      <c r="D57" s="52">
        <v>1</v>
      </c>
      <c r="E57" s="52"/>
      <c r="F57" s="53"/>
      <c r="G57" s="58">
        <f>IF(B57='[2]Breakdown from VHM BOQ'!B80,'[2]Breakdown from VHM BOQ'!J80,"")</f>
        <v>1000000</v>
      </c>
      <c r="H57" s="51">
        <f t="shared" si="5"/>
        <v>1000000</v>
      </c>
    </row>
    <row r="58" spans="1:9" s="26" customFormat="1" ht="37.9" customHeight="1">
      <c r="A58" s="48" t="s">
        <v>22</v>
      </c>
      <c r="B58" s="50" t="s">
        <v>89</v>
      </c>
      <c r="C58" s="50"/>
      <c r="D58" s="50"/>
      <c r="E58" s="50"/>
      <c r="F58" s="50"/>
      <c r="G58" s="50"/>
      <c r="H58" s="64">
        <f>SUM(H8,H13,H25,H35,H38,H41,H43,H45,H48,H57)</f>
        <v>36547846.885405406</v>
      </c>
      <c r="I58" s="65"/>
    </row>
  </sheetData>
  <mergeCells count="5">
    <mergeCell ref="A7:E7"/>
    <mergeCell ref="A1:B1"/>
    <mergeCell ref="A3:E3"/>
    <mergeCell ref="D6:E6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0E3F-6BC8-4EDE-BED9-D08772BC78A5}">
  <sheetPr>
    <tabColor theme="0"/>
  </sheetPr>
  <dimension ref="A1:I58"/>
  <sheetViews>
    <sheetView view="pageBreakPreview" zoomScale="70" zoomScaleNormal="70" zoomScaleSheetLayoutView="70" workbookViewId="0">
      <pane ySplit="6" topLeftCell="A50" activePane="bottomLeft" state="frozen"/>
      <selection activeCell="L79" sqref="L79"/>
      <selection pane="bottomLeft" activeCell="A2" sqref="A1:H1048576"/>
    </sheetView>
  </sheetViews>
  <sheetFormatPr defaultColWidth="9.53125" defaultRowHeight="13.15" outlineLevelCol="1"/>
  <cols>
    <col min="1" max="1" width="7.59765625" style="3" customWidth="1"/>
    <col min="2" max="2" width="30.59765625" style="32" customWidth="1"/>
    <col min="3" max="3" width="43.59765625" style="3" customWidth="1"/>
    <col min="4" max="4" width="8.59765625" style="2" customWidth="1"/>
    <col min="5" max="5" width="6.59765625" style="2" customWidth="1"/>
    <col min="6" max="6" width="13.59765625" style="3" customWidth="1"/>
    <col min="7" max="7" width="20.59765625" style="3" customWidth="1" outlineLevel="1"/>
    <col min="8" max="8" width="20.59765625" style="3" customWidth="1"/>
    <col min="9" max="16384" width="9.53125" style="3"/>
  </cols>
  <sheetData>
    <row r="1" spans="1:8" ht="31.45" customHeight="1">
      <c r="A1" s="70" t="s">
        <v>0</v>
      </c>
      <c r="B1" s="70"/>
      <c r="C1" s="1"/>
    </row>
    <row r="2" spans="1:8">
      <c r="A2" s="4" t="s">
        <v>1</v>
      </c>
      <c r="B2" s="28"/>
      <c r="C2" s="5"/>
    </row>
    <row r="3" spans="1:8" ht="13.15" customHeight="1">
      <c r="A3" s="71" t="s">
        <v>2</v>
      </c>
      <c r="B3" s="71"/>
      <c r="C3" s="71"/>
      <c r="D3" s="71"/>
      <c r="E3" s="71"/>
      <c r="F3" s="6"/>
    </row>
    <row r="4" spans="1:8" ht="13.15" customHeight="1">
      <c r="B4" s="29"/>
      <c r="C4" s="4"/>
    </row>
    <row r="5" spans="1:8" ht="25.45" customHeight="1">
      <c r="B5" s="29"/>
      <c r="C5" s="4"/>
      <c r="G5" s="74" t="s">
        <v>113</v>
      </c>
      <c r="H5" s="74"/>
    </row>
    <row r="6" spans="1:8" s="47" customFormat="1" ht="16.149999999999999" thickBot="1">
      <c r="A6" s="43" t="s">
        <v>3</v>
      </c>
      <c r="B6" s="44" t="s">
        <v>4</v>
      </c>
      <c r="C6" s="43" t="s">
        <v>5</v>
      </c>
      <c r="D6" s="72"/>
      <c r="E6" s="72"/>
      <c r="F6" s="43" t="s">
        <v>7</v>
      </c>
      <c r="G6" s="45" t="s">
        <v>90</v>
      </c>
      <c r="H6" s="46" t="s">
        <v>91</v>
      </c>
    </row>
    <row r="7" spans="1:8">
      <c r="A7" s="67"/>
      <c r="B7" s="68"/>
      <c r="C7" s="69"/>
      <c r="D7" s="69"/>
      <c r="E7" s="69"/>
      <c r="F7" s="2"/>
    </row>
    <row r="8" spans="1:8" s="26" customFormat="1" ht="31.5">
      <c r="A8" s="48" t="s">
        <v>10</v>
      </c>
      <c r="B8" s="49" t="s">
        <v>11</v>
      </c>
      <c r="C8" s="50"/>
      <c r="D8" s="48" t="s">
        <v>92</v>
      </c>
      <c r="E8" s="48" t="s">
        <v>13</v>
      </c>
      <c r="F8" s="50"/>
      <c r="G8" s="51"/>
      <c r="H8" s="51">
        <f>SUM(H9:H12)</f>
        <v>6306306.3063063063</v>
      </c>
    </row>
    <row r="9" spans="1:8">
      <c r="A9" s="8">
        <v>1</v>
      </c>
      <c r="B9" s="30" t="s">
        <v>14</v>
      </c>
      <c r="C9" s="9"/>
      <c r="D9" s="8">
        <v>33000</v>
      </c>
      <c r="E9" s="8" t="s">
        <v>15</v>
      </c>
      <c r="F9" s="8" t="s">
        <v>16</v>
      </c>
      <c r="G9" s="10">
        <f>IF(B9='[2]Breakdown from VHM BOQ'!B9,'[2]Breakdown from VHM BOQ'!K9,"")</f>
        <v>86</v>
      </c>
      <c r="H9" s="11">
        <f>D9*G9</f>
        <v>2838000</v>
      </c>
    </row>
    <row r="10" spans="1:8">
      <c r="A10" s="8">
        <v>2</v>
      </c>
      <c r="B10" s="30" t="s">
        <v>17</v>
      </c>
      <c r="C10" s="9"/>
      <c r="D10" s="8">
        <v>33000</v>
      </c>
      <c r="E10" s="8" t="s">
        <v>15</v>
      </c>
      <c r="F10" s="8" t="s">
        <v>16</v>
      </c>
      <c r="G10" s="10">
        <f>IF(B10='[2]Breakdown from VHM BOQ'!B10,'[2]Breakdown from VHM BOQ'!K10,"")</f>
        <v>86</v>
      </c>
      <c r="H10" s="11">
        <f t="shared" ref="H10:H11" si="0">D10*G10</f>
        <v>2838000</v>
      </c>
    </row>
    <row r="11" spans="1:8">
      <c r="A11" s="8">
        <v>3</v>
      </c>
      <c r="B11" s="30" t="s">
        <v>18</v>
      </c>
      <c r="C11" s="9"/>
      <c r="D11" s="8">
        <v>1</v>
      </c>
      <c r="E11" s="8" t="s">
        <v>13</v>
      </c>
      <c r="F11" s="8" t="s">
        <v>16</v>
      </c>
      <c r="G11" s="10">
        <f>IF(B11='[2]Breakdown from VHM BOQ'!B11,'[2]Breakdown from VHM BOQ'!K11,"")</f>
        <v>3324000</v>
      </c>
      <c r="H11" s="11">
        <f t="shared" si="0"/>
        <v>3324000</v>
      </c>
    </row>
    <row r="12" spans="1:8">
      <c r="A12" s="8"/>
      <c r="B12" s="31" t="s">
        <v>19</v>
      </c>
      <c r="C12" s="12"/>
      <c r="D12" s="13">
        <v>1</v>
      </c>
      <c r="E12" s="13"/>
      <c r="F12" s="13"/>
      <c r="G12" s="14">
        <v>-2693693.6936936933</v>
      </c>
      <c r="H12" s="11">
        <f>D12*G12</f>
        <v>-2693693.6936936933</v>
      </c>
    </row>
    <row r="13" spans="1:8" s="26" customFormat="1" ht="15.75">
      <c r="A13" s="48" t="s">
        <v>20</v>
      </c>
      <c r="B13" s="49" t="s">
        <v>21</v>
      </c>
      <c r="C13" s="50"/>
      <c r="D13" s="52"/>
      <c r="E13" s="52"/>
      <c r="F13" s="53"/>
      <c r="G13" s="54"/>
      <c r="H13" s="51"/>
    </row>
    <row r="14" spans="1:8" s="26" customFormat="1" ht="15.75">
      <c r="A14" s="48" t="s">
        <v>22</v>
      </c>
      <c r="B14" s="55" t="s">
        <v>23</v>
      </c>
      <c r="C14" s="50"/>
      <c r="D14" s="52"/>
      <c r="E14" s="52"/>
      <c r="F14" s="53"/>
      <c r="G14" s="54"/>
      <c r="H14" s="51">
        <f>SUM(H15:H24)</f>
        <v>715010.33000000007</v>
      </c>
    </row>
    <row r="15" spans="1:8" ht="78.75">
      <c r="A15" s="8">
        <v>1</v>
      </c>
      <c r="B15" s="36" t="s">
        <v>24</v>
      </c>
      <c r="C15" s="37" t="s">
        <v>25</v>
      </c>
      <c r="D15" s="8">
        <f>0.53*0.4*0.45</f>
        <v>9.5400000000000013E-2</v>
      </c>
      <c r="E15" s="34" t="s">
        <v>26</v>
      </c>
      <c r="F15" s="8" t="s">
        <v>16</v>
      </c>
      <c r="G15" s="10">
        <f>IF(B15='[2]Breakdown from VHM BOQ'!B15,'[2]Breakdown from VHM BOQ'!K15,"")</f>
        <v>126100</v>
      </c>
      <c r="H15" s="11">
        <f t="shared" ref="H15:H34" si="1">D15*G15</f>
        <v>12029.940000000002</v>
      </c>
    </row>
    <row r="16" spans="1:8" ht="78.75">
      <c r="A16" s="8">
        <v>4</v>
      </c>
      <c r="B16" s="36" t="s">
        <v>27</v>
      </c>
      <c r="C16" s="38" t="s">
        <v>28</v>
      </c>
      <c r="D16" s="8">
        <f>D15</f>
        <v>9.5400000000000013E-2</v>
      </c>
      <c r="E16" s="34" t="s">
        <v>26</v>
      </c>
      <c r="F16" s="8" t="s">
        <v>16</v>
      </c>
      <c r="G16" s="10">
        <f>IF(B16='[2]Breakdown from VHM BOQ'!B18,'[2]Breakdown from VHM BOQ'!K18,"")</f>
        <v>120000</v>
      </c>
      <c r="H16" s="11">
        <f t="shared" si="1"/>
        <v>11448.000000000002</v>
      </c>
    </row>
    <row r="17" spans="1:8">
      <c r="A17" s="8">
        <v>5</v>
      </c>
      <c r="B17" s="36" t="s">
        <v>29</v>
      </c>
      <c r="C17" s="38"/>
      <c r="D17" s="8">
        <f>D15/0.45</f>
        <v>0.21200000000000002</v>
      </c>
      <c r="E17" s="34" t="s">
        <v>30</v>
      </c>
      <c r="F17" s="8" t="s">
        <v>16</v>
      </c>
      <c r="G17" s="10">
        <f>IF(B17='[2]Breakdown from VHM BOQ'!B19,'[2]Breakdown from VHM BOQ'!K19,"")</f>
        <v>14550</v>
      </c>
      <c r="H17" s="11">
        <f t="shared" si="1"/>
        <v>3084.6000000000004</v>
      </c>
    </row>
    <row r="18" spans="1:8" ht="26.25">
      <c r="A18" s="8">
        <v>6</v>
      </c>
      <c r="B18" s="36" t="s">
        <v>31</v>
      </c>
      <c r="C18" s="38" t="s">
        <v>32</v>
      </c>
      <c r="D18" s="8">
        <v>1.0600000000000002E-2</v>
      </c>
      <c r="E18" s="34" t="s">
        <v>26</v>
      </c>
      <c r="F18" s="8" t="s">
        <v>16</v>
      </c>
      <c r="G18" s="10">
        <f>IF(B18='[2]Breakdown from VHM BOQ'!B20,'[2]Breakdown from VHM BOQ'!K20,"")</f>
        <v>1212500</v>
      </c>
      <c r="H18" s="11">
        <f t="shared" si="1"/>
        <v>12852.500000000002</v>
      </c>
    </row>
    <row r="19" spans="1:8" ht="26.25">
      <c r="A19" s="8">
        <v>7</v>
      </c>
      <c r="B19" s="36" t="s">
        <v>33</v>
      </c>
      <c r="C19" s="38" t="s">
        <v>34</v>
      </c>
      <c r="D19" s="8">
        <v>7.7399999999999997E-2</v>
      </c>
      <c r="E19" s="34" t="s">
        <v>26</v>
      </c>
      <c r="F19" s="8" t="s">
        <v>16</v>
      </c>
      <c r="G19" s="10">
        <f>IF(B19='[2]Breakdown from VHM BOQ'!B21,'[2]Breakdown from VHM BOQ'!K21,"")</f>
        <v>1746000</v>
      </c>
      <c r="H19" s="11">
        <f t="shared" si="1"/>
        <v>135140.4</v>
      </c>
    </row>
    <row r="20" spans="1:8" ht="26.25">
      <c r="A20" s="8">
        <v>8</v>
      </c>
      <c r="B20" s="39" t="s">
        <v>35</v>
      </c>
      <c r="C20" s="40" t="s">
        <v>36</v>
      </c>
      <c r="D20" s="8">
        <f>(0.2*2*0.43)+(0.2*2*0.3)</f>
        <v>0.29200000000000004</v>
      </c>
      <c r="E20" s="34" t="s">
        <v>30</v>
      </c>
      <c r="F20" s="8" t="s">
        <v>16</v>
      </c>
      <c r="G20" s="10">
        <f>IF(B20='[2]Breakdown from VHM BOQ'!B22,'[2]Breakdown from VHM BOQ'!K22,"")</f>
        <v>294000</v>
      </c>
      <c r="H20" s="11">
        <f t="shared" si="1"/>
        <v>85848.000000000015</v>
      </c>
    </row>
    <row r="21" spans="1:8" ht="39.4">
      <c r="A21" s="8">
        <v>9</v>
      </c>
      <c r="B21" s="39" t="s">
        <v>37</v>
      </c>
      <c r="C21" s="40" t="s">
        <v>36</v>
      </c>
      <c r="D21" s="8">
        <v>0.876</v>
      </c>
      <c r="E21" s="34" t="s">
        <v>30</v>
      </c>
      <c r="F21" s="8" t="s">
        <v>16</v>
      </c>
      <c r="G21" s="10">
        <f>IF(B21='[2]Breakdown from VHM BOQ'!B23,'[2]Breakdown from VHM BOQ'!K23,"")</f>
        <v>302640</v>
      </c>
      <c r="H21" s="11">
        <f t="shared" si="1"/>
        <v>265112.64</v>
      </c>
    </row>
    <row r="22" spans="1:8" ht="26.25">
      <c r="A22" s="8">
        <v>10</v>
      </c>
      <c r="B22" s="36" t="s">
        <v>38</v>
      </c>
      <c r="C22" s="38" t="s">
        <v>39</v>
      </c>
      <c r="D22" s="8">
        <v>2</v>
      </c>
      <c r="E22" s="34" t="s">
        <v>40</v>
      </c>
      <c r="F22" s="8" t="s">
        <v>16</v>
      </c>
      <c r="G22" s="10">
        <f>IF(B22='[2]Breakdown from VHM BOQ'!B24,'[2]Breakdown from VHM BOQ'!K24,"")</f>
        <v>33950</v>
      </c>
      <c r="H22" s="11">
        <f t="shared" si="1"/>
        <v>67900</v>
      </c>
    </row>
    <row r="23" spans="1:8" ht="26.25">
      <c r="A23" s="8">
        <v>11</v>
      </c>
      <c r="B23" s="39" t="s">
        <v>41</v>
      </c>
      <c r="C23" s="40" t="s">
        <v>42</v>
      </c>
      <c r="D23" s="8">
        <f>(0.6*2*0.43)+(0.6*2*0.3)+0.3*0.43</f>
        <v>1.0049999999999999</v>
      </c>
      <c r="E23" s="34" t="s">
        <v>30</v>
      </c>
      <c r="F23" s="8" t="s">
        <v>16</v>
      </c>
      <c r="G23" s="10">
        <f>IF(B23='[2]Breakdown from VHM BOQ'!B25,'[2]Breakdown from VHM BOQ'!K25,"")</f>
        <v>82450</v>
      </c>
      <c r="H23" s="11">
        <f t="shared" si="1"/>
        <v>82862.249999999985</v>
      </c>
    </row>
    <row r="24" spans="1:8" ht="39.4">
      <c r="A24" s="8">
        <v>12</v>
      </c>
      <c r="B24" s="36" t="s">
        <v>43</v>
      </c>
      <c r="C24" s="38" t="s">
        <v>44</v>
      </c>
      <c r="D24" s="8">
        <f>(0.2*2*0.43)+(0.2*2*0.3)+0.43*0.3</f>
        <v>0.42100000000000004</v>
      </c>
      <c r="E24" s="34" t="s">
        <v>30</v>
      </c>
      <c r="F24" s="8" t="s">
        <v>16</v>
      </c>
      <c r="G24" s="10">
        <f>IF(B24='[2]Breakdown from VHM BOQ'!B26,'[2]Breakdown from VHM BOQ'!K26,"")</f>
        <v>92000</v>
      </c>
      <c r="H24" s="11">
        <f t="shared" si="1"/>
        <v>38732.000000000007</v>
      </c>
    </row>
    <row r="25" spans="1:8" s="26" customFormat="1" ht="31.5">
      <c r="A25" s="48" t="s">
        <v>45</v>
      </c>
      <c r="B25" s="55" t="s">
        <v>93</v>
      </c>
      <c r="C25" s="50"/>
      <c r="D25" s="52"/>
      <c r="E25" s="52"/>
      <c r="F25" s="53"/>
      <c r="G25" s="54"/>
      <c r="H25" s="54">
        <f>SUM(H26:H34)</f>
        <v>1072883.48</v>
      </c>
    </row>
    <row r="26" spans="1:8" ht="78.75">
      <c r="A26" s="8">
        <v>1</v>
      </c>
      <c r="B26" s="36" t="s">
        <v>24</v>
      </c>
      <c r="C26" s="37" t="s">
        <v>25</v>
      </c>
      <c r="D26" s="8">
        <v>9.5400000000000013E-2</v>
      </c>
      <c r="E26" s="34" t="s">
        <v>26</v>
      </c>
      <c r="F26" s="8" t="s">
        <v>16</v>
      </c>
      <c r="G26" s="10">
        <f>IF(B26='[2]Breakdown from VHM BOQ'!B28,'[2]Breakdown from VHM BOQ'!K28,"")</f>
        <v>126100</v>
      </c>
      <c r="H26" s="11">
        <f t="shared" si="1"/>
        <v>12029.940000000002</v>
      </c>
    </row>
    <row r="27" spans="1:8" ht="78.75">
      <c r="A27" s="8">
        <v>4</v>
      </c>
      <c r="B27" s="36" t="s">
        <v>27</v>
      </c>
      <c r="C27" s="38" t="s">
        <v>28</v>
      </c>
      <c r="D27" s="8">
        <v>9.5400000000000013E-2</v>
      </c>
      <c r="E27" s="34" t="s">
        <v>26</v>
      </c>
      <c r="F27" s="8" t="s">
        <v>16</v>
      </c>
      <c r="G27" s="10">
        <f>IF(B27='[2]Breakdown from VHM BOQ'!B31,'[2]Breakdown from VHM BOQ'!K31,"")</f>
        <v>120000</v>
      </c>
      <c r="H27" s="11">
        <f t="shared" si="1"/>
        <v>11448.000000000002</v>
      </c>
    </row>
    <row r="28" spans="1:8" ht="26.25">
      <c r="A28" s="8">
        <v>5</v>
      </c>
      <c r="B28" s="36" t="s">
        <v>31</v>
      </c>
      <c r="C28" s="38" t="s">
        <v>32</v>
      </c>
      <c r="D28" s="8">
        <v>0.15</v>
      </c>
      <c r="E28" s="34" t="s">
        <v>26</v>
      </c>
      <c r="F28" s="8" t="s">
        <v>16</v>
      </c>
      <c r="G28" s="10">
        <f>IF(B28='[2]Breakdown from VHM BOQ'!B32,'[2]Breakdown from VHM BOQ'!K32,"")</f>
        <v>1212500</v>
      </c>
      <c r="H28" s="11">
        <f t="shared" si="1"/>
        <v>181875</v>
      </c>
    </row>
    <row r="29" spans="1:8" ht="26.25">
      <c r="A29" s="8">
        <v>6</v>
      </c>
      <c r="B29" s="36" t="s">
        <v>33</v>
      </c>
      <c r="C29" s="38" t="s">
        <v>34</v>
      </c>
      <c r="D29" s="8">
        <v>7.7399999999999997E-2</v>
      </c>
      <c r="E29" s="34" t="s">
        <v>26</v>
      </c>
      <c r="F29" s="8" t="s">
        <v>16</v>
      </c>
      <c r="G29" s="10">
        <f>IF(B29='[2]Breakdown from VHM BOQ'!B33,'[2]Breakdown from VHM BOQ'!K33,"")</f>
        <v>1746000</v>
      </c>
      <c r="H29" s="11">
        <f t="shared" si="1"/>
        <v>135140.4</v>
      </c>
    </row>
    <row r="30" spans="1:8" ht="26.25">
      <c r="A30" s="8">
        <v>7</v>
      </c>
      <c r="B30" s="39" t="s">
        <v>35</v>
      </c>
      <c r="C30" s="40" t="s">
        <v>36</v>
      </c>
      <c r="D30" s="8">
        <v>0.79200000000000004</v>
      </c>
      <c r="E30" s="34" t="s">
        <v>30</v>
      </c>
      <c r="F30" s="8" t="s">
        <v>16</v>
      </c>
      <c r="G30" s="10">
        <f>IF(B30='[2]Breakdown from VHM BOQ'!B34,'[2]Breakdown from VHM BOQ'!K34,"")</f>
        <v>294000</v>
      </c>
      <c r="H30" s="11">
        <f t="shared" si="1"/>
        <v>232848</v>
      </c>
    </row>
    <row r="31" spans="1:8" ht="39.4">
      <c r="A31" s="8">
        <v>8</v>
      </c>
      <c r="B31" s="39" t="s">
        <v>37</v>
      </c>
      <c r="C31" s="40" t="s">
        <v>36</v>
      </c>
      <c r="D31" s="8">
        <v>0.876</v>
      </c>
      <c r="E31" s="34" t="s">
        <v>30</v>
      </c>
      <c r="F31" s="8" t="s">
        <v>16</v>
      </c>
      <c r="G31" s="10">
        <f>IF(B31='[2]Breakdown from VHM BOQ'!B35,'[2]Breakdown from VHM BOQ'!K35,"")</f>
        <v>302640</v>
      </c>
      <c r="H31" s="11">
        <f t="shared" si="1"/>
        <v>265112.64</v>
      </c>
    </row>
    <row r="32" spans="1:8" ht="26.25">
      <c r="A32" s="8">
        <v>9</v>
      </c>
      <c r="B32" s="36" t="s">
        <v>38</v>
      </c>
      <c r="C32" s="38" t="s">
        <v>39</v>
      </c>
      <c r="D32" s="8">
        <v>2</v>
      </c>
      <c r="E32" s="34" t="s">
        <v>40</v>
      </c>
      <c r="F32" s="8" t="s">
        <v>16</v>
      </c>
      <c r="G32" s="10">
        <f>IF(B32='[2]Breakdown from VHM BOQ'!B36,'[2]Breakdown from VHM BOQ'!K36,"")</f>
        <v>33950</v>
      </c>
      <c r="H32" s="11">
        <f t="shared" si="1"/>
        <v>67900</v>
      </c>
    </row>
    <row r="33" spans="1:8" ht="26.25">
      <c r="A33" s="8">
        <v>10</v>
      </c>
      <c r="B33" s="39" t="s">
        <v>41</v>
      </c>
      <c r="C33" s="40" t="s">
        <v>42</v>
      </c>
      <c r="D33" s="8">
        <v>1.55</v>
      </c>
      <c r="E33" s="34" t="s">
        <v>30</v>
      </c>
      <c r="F33" s="8" t="s">
        <v>16</v>
      </c>
      <c r="G33" s="10">
        <f>IF(B33='[2]Breakdown from VHM BOQ'!B37,'[2]Breakdown from VHM BOQ'!K37,"")</f>
        <v>82450</v>
      </c>
      <c r="H33" s="11">
        <f t="shared" si="1"/>
        <v>127797.5</v>
      </c>
    </row>
    <row r="34" spans="1:8" ht="39.4">
      <c r="A34" s="8">
        <v>11</v>
      </c>
      <c r="B34" s="36" t="s">
        <v>43</v>
      </c>
      <c r="C34" s="38" t="s">
        <v>44</v>
      </c>
      <c r="D34" s="8">
        <v>0.42099999999999999</v>
      </c>
      <c r="E34" s="34" t="s">
        <v>30</v>
      </c>
      <c r="F34" s="8" t="s">
        <v>16</v>
      </c>
      <c r="G34" s="10">
        <f>IF(B34='[2]Breakdown from VHM BOQ'!B38,'[2]Breakdown from VHM BOQ'!K38,"")</f>
        <v>92000</v>
      </c>
      <c r="H34" s="11">
        <f t="shared" si="1"/>
        <v>38732</v>
      </c>
    </row>
    <row r="35" spans="1:8" s="26" customFormat="1" ht="15.75">
      <c r="A35" s="48" t="s">
        <v>47</v>
      </c>
      <c r="B35" s="49" t="s">
        <v>48</v>
      </c>
      <c r="C35" s="50"/>
      <c r="D35" s="52"/>
      <c r="E35" s="52"/>
      <c r="F35" s="53"/>
      <c r="G35" s="54"/>
      <c r="H35" s="51">
        <f>SUM(H36:H37)</f>
        <v>548050</v>
      </c>
    </row>
    <row r="36" spans="1:8" ht="196.9">
      <c r="A36" s="8">
        <v>1</v>
      </c>
      <c r="B36" s="35" t="s">
        <v>49</v>
      </c>
      <c r="C36" s="33" t="s">
        <v>50</v>
      </c>
      <c r="D36" s="8">
        <v>2.5</v>
      </c>
      <c r="E36" s="34" t="s">
        <v>30</v>
      </c>
      <c r="F36" s="8" t="s">
        <v>16</v>
      </c>
      <c r="G36" s="10">
        <f>IF(B36='[2]Breakdown from VHM BOQ'!B40,'[2]Breakdown from VHM BOQ'!K40,"")</f>
        <v>48500</v>
      </c>
      <c r="H36" s="11">
        <f t="shared" ref="H36:H40" si="2">D36*G36</f>
        <v>121250</v>
      </c>
    </row>
    <row r="37" spans="1:8" ht="39.4">
      <c r="A37" s="8">
        <v>2</v>
      </c>
      <c r="B37" s="35" t="s">
        <v>51</v>
      </c>
      <c r="C37" s="33" t="s">
        <v>52</v>
      </c>
      <c r="D37" s="8">
        <v>2</v>
      </c>
      <c r="E37" s="34" t="s">
        <v>53</v>
      </c>
      <c r="F37" s="8" t="s">
        <v>16</v>
      </c>
      <c r="G37" s="10">
        <f>IF(B37='[2]Breakdown from VHM BOQ'!B41,'[2]Breakdown from VHM BOQ'!K41,"")</f>
        <v>213400</v>
      </c>
      <c r="H37" s="11">
        <f t="shared" si="2"/>
        <v>426800</v>
      </c>
    </row>
    <row r="38" spans="1:8" s="26" customFormat="1" ht="15.75">
      <c r="A38" s="48" t="s">
        <v>54</v>
      </c>
      <c r="B38" s="49" t="s">
        <v>55</v>
      </c>
      <c r="C38" s="50"/>
      <c r="D38" s="52"/>
      <c r="E38" s="52"/>
      <c r="F38" s="53"/>
      <c r="G38" s="54"/>
      <c r="H38" s="54">
        <f>SUM(H39:H40)</f>
        <v>2333594.5</v>
      </c>
    </row>
    <row r="39" spans="1:8">
      <c r="A39" s="8">
        <v>1</v>
      </c>
      <c r="B39" s="35" t="s">
        <v>56</v>
      </c>
      <c r="C39" s="33"/>
      <c r="D39" s="8">
        <v>1</v>
      </c>
      <c r="E39" s="34" t="s">
        <v>53</v>
      </c>
      <c r="F39" s="8" t="s">
        <v>16</v>
      </c>
      <c r="G39" s="10">
        <f>IF(B39='[2]Breakdown from VHM BOQ'!B43,'[2]Breakdown from VHM BOQ'!K43,"")</f>
        <v>1420000</v>
      </c>
      <c r="H39" s="11">
        <f t="shared" si="2"/>
        <v>1420000</v>
      </c>
    </row>
    <row r="40" spans="1:8" ht="39.4">
      <c r="A40" s="8">
        <v>2</v>
      </c>
      <c r="B40" s="35" t="s">
        <v>58</v>
      </c>
      <c r="C40" s="33" t="s">
        <v>59</v>
      </c>
      <c r="D40" s="8">
        <v>1</v>
      </c>
      <c r="E40" s="34" t="s">
        <v>53</v>
      </c>
      <c r="F40" s="8" t="s">
        <v>16</v>
      </c>
      <c r="G40" s="10">
        <f>IF(B40='[2]Breakdown from VHM BOQ'!B44,'[2]Breakdown from VHM BOQ'!K44,"")</f>
        <v>913594.49999999988</v>
      </c>
      <c r="H40" s="11">
        <f t="shared" si="2"/>
        <v>913594.49999999988</v>
      </c>
    </row>
    <row r="41" spans="1:8" s="26" customFormat="1" ht="31.5">
      <c r="A41" s="48" t="s">
        <v>60</v>
      </c>
      <c r="B41" s="49" t="s">
        <v>61</v>
      </c>
      <c r="C41" s="50"/>
      <c r="D41" s="52"/>
      <c r="E41" s="52"/>
      <c r="F41" s="53"/>
      <c r="G41" s="54"/>
      <c r="H41" s="51">
        <f>(H42)</f>
        <v>6305000</v>
      </c>
    </row>
    <row r="42" spans="1:8" ht="26.25">
      <c r="A42" s="8">
        <v>2</v>
      </c>
      <c r="B42" s="41" t="s">
        <v>94</v>
      </c>
      <c r="C42" s="33"/>
      <c r="D42" s="8">
        <v>1</v>
      </c>
      <c r="E42" s="34" t="s">
        <v>63</v>
      </c>
      <c r="F42" s="8" t="s">
        <v>64</v>
      </c>
      <c r="G42" s="10">
        <f>IF(B42='[2]Breakdown from VHM BOQ'!B48,'[2]Breakdown from VHM BOQ'!K48,"")</f>
        <v>6305000</v>
      </c>
      <c r="H42" s="11">
        <f t="shared" ref="H42" si="3">D42*G42</f>
        <v>6305000</v>
      </c>
    </row>
    <row r="43" spans="1:8" s="26" customFormat="1" ht="15.75">
      <c r="A43" s="48" t="s">
        <v>60</v>
      </c>
      <c r="B43" s="49" t="s">
        <v>65</v>
      </c>
      <c r="C43" s="50"/>
      <c r="D43" s="52"/>
      <c r="E43" s="52"/>
      <c r="F43" s="53"/>
      <c r="G43" s="54"/>
      <c r="H43" s="51">
        <f>(H44)</f>
        <v>1500000</v>
      </c>
    </row>
    <row r="44" spans="1:8">
      <c r="A44" s="8">
        <v>1</v>
      </c>
      <c r="B44" s="41" t="s">
        <v>95</v>
      </c>
      <c r="C44" s="33"/>
      <c r="D44" s="8">
        <v>1</v>
      </c>
      <c r="E44" s="34" t="s">
        <v>53</v>
      </c>
      <c r="F44" s="8" t="s">
        <v>16</v>
      </c>
      <c r="G44" s="10">
        <v>1500000</v>
      </c>
      <c r="H44" s="11">
        <f t="shared" ref="H44" si="4">D44*G44</f>
        <v>1500000</v>
      </c>
    </row>
    <row r="45" spans="1:8" s="26" customFormat="1" ht="15.75">
      <c r="A45" s="48" t="s">
        <v>67</v>
      </c>
      <c r="B45" s="49" t="s">
        <v>68</v>
      </c>
      <c r="C45" s="50"/>
      <c r="D45" s="52"/>
      <c r="E45" s="52"/>
      <c r="F45" s="53"/>
      <c r="G45" s="54"/>
      <c r="H45" s="51">
        <f>SUM(H46:H47)</f>
        <v>4965000</v>
      </c>
    </row>
    <row r="46" spans="1:8">
      <c r="A46" s="8">
        <v>3</v>
      </c>
      <c r="B46" s="42" t="s">
        <v>96</v>
      </c>
      <c r="C46" s="33"/>
      <c r="D46" s="8">
        <v>1</v>
      </c>
      <c r="E46" s="34" t="s">
        <v>53</v>
      </c>
      <c r="F46" s="8" t="s">
        <v>16</v>
      </c>
      <c r="G46" s="10">
        <f>IF(B46='[2]Breakdown from VHM BOQ'!B56,'[2]Breakdown from VHM BOQ'!K56,"")</f>
        <v>4365000</v>
      </c>
      <c r="H46" s="11">
        <f t="shared" ref="H46:H47" si="5">D46*G46</f>
        <v>4365000</v>
      </c>
    </row>
    <row r="47" spans="1:8">
      <c r="A47" s="8">
        <v>5</v>
      </c>
      <c r="B47" s="18" t="s">
        <v>70</v>
      </c>
      <c r="C47" s="33"/>
      <c r="D47" s="8">
        <v>6</v>
      </c>
      <c r="E47" s="34" t="s">
        <v>71</v>
      </c>
      <c r="F47" s="8" t="s">
        <v>16</v>
      </c>
      <c r="G47" s="10">
        <f>IF(B47='[2]Breakdown from VHM BOQ'!B58,'[2]Breakdown from VHM BOQ'!K58,"")</f>
        <v>100000</v>
      </c>
      <c r="H47" s="11">
        <f t="shared" si="5"/>
        <v>600000</v>
      </c>
    </row>
    <row r="48" spans="1:8" s="26" customFormat="1" ht="31.5">
      <c r="A48" s="48" t="s">
        <v>72</v>
      </c>
      <c r="B48" s="56" t="s">
        <v>73</v>
      </c>
      <c r="C48" s="57"/>
      <c r="D48" s="52"/>
      <c r="E48" s="52"/>
      <c r="F48" s="53"/>
      <c r="G48" s="54"/>
      <c r="H48" s="51">
        <f>SUM(H49:H56)</f>
        <v>20727897.649999999</v>
      </c>
    </row>
    <row r="49" spans="1:9" ht="39.4">
      <c r="A49" s="8">
        <v>4</v>
      </c>
      <c r="B49" s="18" t="s">
        <v>97</v>
      </c>
      <c r="C49" s="33"/>
      <c r="D49" s="8">
        <v>25</v>
      </c>
      <c r="E49" s="34" t="s">
        <v>75</v>
      </c>
      <c r="F49" s="19" t="s">
        <v>76</v>
      </c>
      <c r="G49" s="10">
        <f>IF(B49='[2]Breakdown from VHM BOQ'!B63,'[2]Breakdown from VHM BOQ'!K63,"")</f>
        <v>160667.79299999998</v>
      </c>
      <c r="H49" s="11">
        <f t="shared" ref="H49:H57" si="6">D49*G49</f>
        <v>4016694.8249999993</v>
      </c>
    </row>
    <row r="50" spans="1:9" ht="39.4">
      <c r="A50" s="8">
        <v>5</v>
      </c>
      <c r="B50" s="18" t="s">
        <v>98</v>
      </c>
      <c r="C50" s="33"/>
      <c r="D50" s="8">
        <v>25</v>
      </c>
      <c r="E50" s="34" t="s">
        <v>75</v>
      </c>
      <c r="F50" s="19" t="s">
        <v>76</v>
      </c>
      <c r="G50" s="10">
        <f>IF(B50='[2]Breakdown from VHM BOQ'!B64,'[2]Breakdown from VHM BOQ'!K64,"")</f>
        <v>160667.79299999998</v>
      </c>
      <c r="H50" s="11">
        <f t="shared" si="6"/>
        <v>4016694.8249999993</v>
      </c>
    </row>
    <row r="51" spans="1:9" ht="39.4">
      <c r="A51" s="8">
        <v>6</v>
      </c>
      <c r="B51" s="18" t="s">
        <v>99</v>
      </c>
      <c r="C51" s="33"/>
      <c r="D51" s="8">
        <v>15</v>
      </c>
      <c r="E51" s="34" t="s">
        <v>75</v>
      </c>
      <c r="F51" s="19" t="s">
        <v>76</v>
      </c>
      <c r="G51" s="10">
        <f>IF(B51='[2]Breakdown from VHM BOQ'!B65,'[2]Breakdown from VHM BOQ'!K65,"")</f>
        <v>31000</v>
      </c>
      <c r="H51" s="11">
        <f t="shared" si="6"/>
        <v>465000</v>
      </c>
    </row>
    <row r="52" spans="1:9">
      <c r="A52" s="8">
        <v>15</v>
      </c>
      <c r="B52" s="18" t="s">
        <v>100</v>
      </c>
      <c r="C52" s="33"/>
      <c r="D52" s="8">
        <v>60</v>
      </c>
      <c r="E52" s="34" t="s">
        <v>75</v>
      </c>
      <c r="F52" s="8" t="s">
        <v>16</v>
      </c>
      <c r="G52" s="10">
        <v>60000</v>
      </c>
      <c r="H52" s="11">
        <f t="shared" si="6"/>
        <v>3600000</v>
      </c>
    </row>
    <row r="53" spans="1:9" ht="26.25">
      <c r="A53" s="8">
        <v>17</v>
      </c>
      <c r="B53" s="18" t="s">
        <v>80</v>
      </c>
      <c r="C53" s="17" t="s">
        <v>81</v>
      </c>
      <c r="D53" s="8">
        <f>D52*0.6*0.9</f>
        <v>32.4</v>
      </c>
      <c r="E53" s="34" t="s">
        <v>26</v>
      </c>
      <c r="F53" s="8"/>
      <c r="G53" s="10">
        <f>IF(B53='[2]Breakdown from VHM BOQ'!B76,'[2]Breakdown from VHM BOQ'!K76,"")</f>
        <v>116400</v>
      </c>
      <c r="H53" s="11">
        <f t="shared" si="6"/>
        <v>3771360</v>
      </c>
    </row>
    <row r="54" spans="1:9">
      <c r="A54" s="8">
        <v>18</v>
      </c>
      <c r="B54" s="18" t="s">
        <v>82</v>
      </c>
      <c r="C54" s="17" t="s">
        <v>83</v>
      </c>
      <c r="D54" s="8">
        <f t="shared" ref="D54" si="7">D53*0.8</f>
        <v>25.92</v>
      </c>
      <c r="E54" s="34" t="s">
        <v>26</v>
      </c>
      <c r="F54" s="8"/>
      <c r="G54" s="10">
        <f>IF(B54='[2]Breakdown from VHM BOQ'!B77,'[2]Breakdown from VHM BOQ'!K77,"")</f>
        <v>140650</v>
      </c>
      <c r="H54" s="11">
        <f t="shared" si="6"/>
        <v>3645648.0000000005</v>
      </c>
    </row>
    <row r="55" spans="1:9">
      <c r="A55" s="8">
        <v>19</v>
      </c>
      <c r="B55" s="18" t="s">
        <v>84</v>
      </c>
      <c r="C55" s="17"/>
      <c r="D55" s="8">
        <f>D52</f>
        <v>60</v>
      </c>
      <c r="E55" s="34" t="s">
        <v>101</v>
      </c>
      <c r="F55" s="8"/>
      <c r="G55" s="10">
        <f>IF(B55='[2]Breakdown from VHM BOQ'!B78,'[2]Breakdown from VHM BOQ'!K78,"")</f>
        <v>14550</v>
      </c>
      <c r="H55" s="11">
        <f t="shared" si="6"/>
        <v>873000</v>
      </c>
    </row>
    <row r="56" spans="1:9" ht="144.4">
      <c r="A56" s="8">
        <v>20</v>
      </c>
      <c r="B56" s="35" t="s">
        <v>86</v>
      </c>
      <c r="C56" s="33"/>
      <c r="D56" s="8">
        <v>1</v>
      </c>
      <c r="E56" s="34" t="s">
        <v>13</v>
      </c>
      <c r="F56" s="8" t="s">
        <v>16</v>
      </c>
      <c r="G56" s="10">
        <f>IF(B56='[2]Breakdown from VHM BOQ'!B79,'[2]Breakdown from VHM BOQ'!K79,"")</f>
        <v>339500</v>
      </c>
      <c r="H56" s="11">
        <f t="shared" si="6"/>
        <v>339500</v>
      </c>
    </row>
    <row r="57" spans="1:9" s="26" customFormat="1" ht="31.5">
      <c r="A57" s="48" t="s">
        <v>87</v>
      </c>
      <c r="B57" s="56" t="s">
        <v>88</v>
      </c>
      <c r="C57" s="57"/>
      <c r="D57" s="52">
        <v>1</v>
      </c>
      <c r="E57" s="52" t="s">
        <v>13</v>
      </c>
      <c r="F57" s="53"/>
      <c r="G57" s="58">
        <f>IF(B57='[2]Breakdown from VHM BOQ'!B80,'[2]Breakdown from VHM BOQ'!K80,"")</f>
        <v>1000000</v>
      </c>
      <c r="H57" s="51">
        <f t="shared" si="6"/>
        <v>1000000</v>
      </c>
    </row>
    <row r="58" spans="1:9" s="47" customFormat="1" ht="15.75">
      <c r="A58" s="48" t="s">
        <v>22</v>
      </c>
      <c r="B58" s="56" t="s">
        <v>102</v>
      </c>
      <c r="C58" s="57"/>
      <c r="D58" s="52"/>
      <c r="E58" s="52"/>
      <c r="F58" s="53"/>
      <c r="G58" s="58"/>
      <c r="H58" s="51">
        <f>SUM(H8,H14,H25,H35,H38,H41,H43,H45,H48,H57)</f>
        <v>45473742.266306303</v>
      </c>
      <c r="I58" s="59"/>
    </row>
  </sheetData>
  <mergeCells count="5">
    <mergeCell ref="A7:E7"/>
    <mergeCell ref="A1:B1"/>
    <mergeCell ref="A3:E3"/>
    <mergeCell ref="D6:E6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E4FF-A36C-4BCC-A527-F197656E3748}">
  <sheetPr>
    <tabColor theme="0"/>
  </sheetPr>
  <dimension ref="A1:I57"/>
  <sheetViews>
    <sheetView view="pageBreakPreview" zoomScale="70" zoomScaleNormal="70" zoomScaleSheetLayoutView="70" workbookViewId="0">
      <pane ySplit="6" topLeftCell="A27" activePane="bottomLeft" state="frozen"/>
      <selection activeCell="L79" sqref="L79"/>
      <selection pane="bottomLeft" activeCell="F35" sqref="F35"/>
    </sheetView>
  </sheetViews>
  <sheetFormatPr defaultColWidth="9.53125" defaultRowHeight="13.15" outlineLevelCol="1"/>
  <cols>
    <col min="1" max="1" width="7.59765625" style="3" customWidth="1"/>
    <col min="2" max="2" width="30.59765625" style="32" customWidth="1"/>
    <col min="3" max="3" width="43.59765625" style="3" customWidth="1"/>
    <col min="4" max="4" width="8.59765625" style="2" customWidth="1"/>
    <col min="5" max="5" width="6.59765625" style="2" customWidth="1"/>
    <col min="6" max="6" width="13.59765625" style="3" customWidth="1"/>
    <col min="7" max="7" width="20.59765625" style="3" customWidth="1" outlineLevel="1"/>
    <col min="8" max="8" width="20.59765625" style="3" customWidth="1"/>
    <col min="9" max="16384" width="9.53125" style="3"/>
  </cols>
  <sheetData>
    <row r="1" spans="1:8" ht="31.45" customHeight="1">
      <c r="A1" s="70" t="s">
        <v>0</v>
      </c>
      <c r="B1" s="70"/>
      <c r="C1" s="1"/>
    </row>
    <row r="2" spans="1:8">
      <c r="A2" s="4" t="s">
        <v>1</v>
      </c>
      <c r="B2" s="28"/>
      <c r="C2" s="5"/>
    </row>
    <row r="3" spans="1:8" ht="13.15" customHeight="1">
      <c r="A3" s="71" t="s">
        <v>2</v>
      </c>
      <c r="B3" s="71"/>
      <c r="C3" s="71"/>
      <c r="D3" s="71"/>
      <c r="E3" s="71"/>
      <c r="F3" s="6"/>
    </row>
    <row r="4" spans="1:8" ht="13.15" customHeight="1">
      <c r="B4" s="29"/>
      <c r="C4" s="4"/>
    </row>
    <row r="5" spans="1:8" ht="25.45" customHeight="1">
      <c r="B5" s="29"/>
      <c r="C5" s="4"/>
      <c r="G5" s="73" t="s">
        <v>113</v>
      </c>
      <c r="H5" s="75"/>
    </row>
    <row r="6" spans="1:8" s="47" customFormat="1" ht="16.149999999999999" thickBot="1">
      <c r="A6" s="43" t="s">
        <v>3</v>
      </c>
      <c r="B6" s="44" t="s">
        <v>4</v>
      </c>
      <c r="C6" s="43" t="s">
        <v>5</v>
      </c>
      <c r="D6" s="72"/>
      <c r="E6" s="72"/>
      <c r="F6" s="43" t="s">
        <v>7</v>
      </c>
      <c r="G6" s="45" t="s">
        <v>103</v>
      </c>
      <c r="H6" s="46" t="s">
        <v>104</v>
      </c>
    </row>
    <row r="7" spans="1:8" s="26" customFormat="1" ht="31.5">
      <c r="A7" s="48" t="s">
        <v>10</v>
      </c>
      <c r="B7" s="49" t="s">
        <v>11</v>
      </c>
      <c r="C7" s="50"/>
      <c r="D7" s="48" t="s">
        <v>105</v>
      </c>
      <c r="E7" s="48" t="s">
        <v>13</v>
      </c>
      <c r="F7" s="50"/>
      <c r="G7" s="51"/>
      <c r="H7" s="51">
        <f>SUM(H8:H11)</f>
        <v>9009009.0090090074</v>
      </c>
    </row>
    <row r="8" spans="1:8">
      <c r="A8" s="8">
        <v>1</v>
      </c>
      <c r="B8" s="30" t="s">
        <v>14</v>
      </c>
      <c r="C8" s="9"/>
      <c r="D8" s="8">
        <v>66000</v>
      </c>
      <c r="E8" s="8" t="s">
        <v>15</v>
      </c>
      <c r="F8" s="8" t="s">
        <v>16</v>
      </c>
      <c r="G8" s="10">
        <f>IF(B8='[2]Breakdown from VHM BOQ'!B9,'[2]Breakdown from VHM BOQ'!L9,"")</f>
        <v>70</v>
      </c>
      <c r="H8" s="11">
        <f>D8*G8</f>
        <v>4620000</v>
      </c>
    </row>
    <row r="9" spans="1:8">
      <c r="A9" s="8">
        <v>2</v>
      </c>
      <c r="B9" s="30" t="s">
        <v>17</v>
      </c>
      <c r="C9" s="9"/>
      <c r="D9" s="8">
        <v>66000</v>
      </c>
      <c r="E9" s="8" t="s">
        <v>15</v>
      </c>
      <c r="F9" s="8" t="s">
        <v>16</v>
      </c>
      <c r="G9" s="10">
        <f>IF(B9='[2]Breakdown from VHM BOQ'!B10,'[2]Breakdown from VHM BOQ'!L10,"")</f>
        <v>70</v>
      </c>
      <c r="H9" s="11">
        <f t="shared" ref="H9:H10" si="0">D9*G9</f>
        <v>4620000</v>
      </c>
    </row>
    <row r="10" spans="1:8">
      <c r="A10" s="8">
        <v>3</v>
      </c>
      <c r="B10" s="30" t="s">
        <v>18</v>
      </c>
      <c r="C10" s="9"/>
      <c r="D10" s="8">
        <v>1</v>
      </c>
      <c r="E10" s="8" t="s">
        <v>13</v>
      </c>
      <c r="F10" s="8" t="s">
        <v>16</v>
      </c>
      <c r="G10" s="10">
        <f>IF(B10='[2]Breakdown from VHM BOQ'!B11,'[2]Breakdown from VHM BOQ'!L11,"")</f>
        <v>5648000</v>
      </c>
      <c r="H10" s="11">
        <f t="shared" si="0"/>
        <v>5648000</v>
      </c>
    </row>
    <row r="11" spans="1:8">
      <c r="A11" s="8"/>
      <c r="B11" s="31" t="s">
        <v>19</v>
      </c>
      <c r="C11" s="12"/>
      <c r="D11" s="13">
        <v>1</v>
      </c>
      <c r="E11" s="13"/>
      <c r="F11" s="13"/>
      <c r="G11" s="14">
        <v>-5878990.9909909917</v>
      </c>
      <c r="H11" s="11">
        <f>D11*G11</f>
        <v>-5878990.9909909917</v>
      </c>
    </row>
    <row r="12" spans="1:8" s="26" customFormat="1" ht="15.75">
      <c r="A12" s="48" t="s">
        <v>20</v>
      </c>
      <c r="B12" s="49" t="s">
        <v>21</v>
      </c>
      <c r="C12" s="50"/>
      <c r="D12" s="52"/>
      <c r="E12" s="52"/>
      <c r="F12" s="53"/>
      <c r="G12" s="54"/>
      <c r="H12" s="51"/>
    </row>
    <row r="13" spans="1:8" s="26" customFormat="1" ht="15.75">
      <c r="A13" s="48" t="s">
        <v>22</v>
      </c>
      <c r="B13" s="55" t="s">
        <v>23</v>
      </c>
      <c r="C13" s="50"/>
      <c r="D13" s="52"/>
      <c r="E13" s="52"/>
      <c r="F13" s="53"/>
      <c r="G13" s="54"/>
      <c r="H13" s="51">
        <f>SUM(H14:H23)</f>
        <v>1959806.3499999999</v>
      </c>
    </row>
    <row r="14" spans="1:8" ht="78.75">
      <c r="A14" s="8">
        <v>1</v>
      </c>
      <c r="B14" s="36" t="s">
        <v>24</v>
      </c>
      <c r="C14" s="37" t="s">
        <v>25</v>
      </c>
      <c r="D14" s="8">
        <f>0.95*0.8*0.45</f>
        <v>0.34200000000000003</v>
      </c>
      <c r="E14" s="34" t="s">
        <v>26</v>
      </c>
      <c r="F14" s="8" t="s">
        <v>16</v>
      </c>
      <c r="G14" s="10">
        <f>IF(B14='[2]Breakdown from VHM BOQ'!B15,'[2]Breakdown from VHM BOQ'!L15,"")</f>
        <v>126100</v>
      </c>
      <c r="H14" s="11">
        <f t="shared" ref="H14:H33" si="1">D14*G14</f>
        <v>43126.200000000004</v>
      </c>
    </row>
    <row r="15" spans="1:8" ht="78.75">
      <c r="A15" s="8">
        <v>4</v>
      </c>
      <c r="B15" s="36" t="s">
        <v>27</v>
      </c>
      <c r="C15" s="38" t="s">
        <v>28</v>
      </c>
      <c r="D15" s="8">
        <f>D14</f>
        <v>0.34200000000000003</v>
      </c>
      <c r="E15" s="34" t="s">
        <v>26</v>
      </c>
      <c r="F15" s="8" t="s">
        <v>16</v>
      </c>
      <c r="G15" s="10">
        <f>IF(B15='[2]Breakdown from VHM BOQ'!B18,'[2]Breakdown from VHM BOQ'!L18,"")</f>
        <v>120000</v>
      </c>
      <c r="H15" s="11">
        <f t="shared" si="1"/>
        <v>41040</v>
      </c>
    </row>
    <row r="16" spans="1:8">
      <c r="A16" s="8">
        <v>5</v>
      </c>
      <c r="B16" s="36" t="s">
        <v>29</v>
      </c>
      <c r="C16" s="38"/>
      <c r="D16" s="8">
        <f>D14/0.45</f>
        <v>0.76</v>
      </c>
      <c r="E16" s="34" t="s">
        <v>30</v>
      </c>
      <c r="F16" s="8" t="s">
        <v>16</v>
      </c>
      <c r="G16" s="10">
        <f>IF(B16='[2]Breakdown from VHM BOQ'!B19,'[2]Breakdown from VHM BOQ'!L19,"")</f>
        <v>14550</v>
      </c>
      <c r="H16" s="11">
        <f t="shared" si="1"/>
        <v>11058</v>
      </c>
    </row>
    <row r="17" spans="1:8" ht="26.25">
      <c r="A17" s="8">
        <v>6</v>
      </c>
      <c r="B17" s="36" t="s">
        <v>31</v>
      </c>
      <c r="C17" s="38" t="s">
        <v>32</v>
      </c>
      <c r="D17" s="8">
        <f>D16*0.05</f>
        <v>3.8000000000000006E-2</v>
      </c>
      <c r="E17" s="34" t="s">
        <v>26</v>
      </c>
      <c r="F17" s="8" t="s">
        <v>16</v>
      </c>
      <c r="G17" s="10">
        <f>IF(B17='[2]Breakdown from VHM BOQ'!B20,'[2]Breakdown from VHM BOQ'!L20,"")</f>
        <v>1212500</v>
      </c>
      <c r="H17" s="11">
        <f t="shared" si="1"/>
        <v>46075.000000000007</v>
      </c>
    </row>
    <row r="18" spans="1:8" ht="26.25">
      <c r="A18" s="8">
        <v>7</v>
      </c>
      <c r="B18" s="36" t="s">
        <v>33</v>
      </c>
      <c r="C18" s="38" t="s">
        <v>34</v>
      </c>
      <c r="D18" s="8">
        <f>0.6*0.85*0.7</f>
        <v>0.35699999999999998</v>
      </c>
      <c r="E18" s="34" t="s">
        <v>26</v>
      </c>
      <c r="F18" s="8" t="s">
        <v>16</v>
      </c>
      <c r="G18" s="10">
        <f>IF(B18='[2]Breakdown from VHM BOQ'!B21,'[2]Breakdown from VHM BOQ'!L21,"")</f>
        <v>1746000</v>
      </c>
      <c r="H18" s="11">
        <f t="shared" si="1"/>
        <v>623322</v>
      </c>
    </row>
    <row r="19" spans="1:8" ht="26.25">
      <c r="A19" s="8">
        <v>8</v>
      </c>
      <c r="B19" s="39" t="s">
        <v>35</v>
      </c>
      <c r="C19" s="40" t="s">
        <v>36</v>
      </c>
      <c r="D19" s="8">
        <f>(0.2*2*0.85)+(0.2*2*0.7)</f>
        <v>0.62</v>
      </c>
      <c r="E19" s="34" t="s">
        <v>30</v>
      </c>
      <c r="F19" s="8" t="s">
        <v>16</v>
      </c>
      <c r="G19" s="10">
        <f>IF(B19='[2]Breakdown from VHM BOQ'!B22,'[2]Breakdown from VHM BOQ'!L22,"")</f>
        <v>294000</v>
      </c>
      <c r="H19" s="11">
        <f t="shared" si="1"/>
        <v>182280</v>
      </c>
    </row>
    <row r="20" spans="1:8" ht="39.4">
      <c r="A20" s="8">
        <v>9</v>
      </c>
      <c r="B20" s="39" t="s">
        <v>37</v>
      </c>
      <c r="C20" s="40" t="s">
        <v>36</v>
      </c>
      <c r="D20" s="8">
        <v>1.8599999999999999</v>
      </c>
      <c r="E20" s="34" t="s">
        <v>30</v>
      </c>
      <c r="F20" s="8" t="s">
        <v>16</v>
      </c>
      <c r="G20" s="10">
        <f>IF(B20='[2]Breakdown from VHM BOQ'!B23,'[2]Breakdown from VHM BOQ'!L23,"")</f>
        <v>302640</v>
      </c>
      <c r="H20" s="11">
        <f t="shared" si="1"/>
        <v>562910.39999999991</v>
      </c>
    </row>
    <row r="21" spans="1:8" ht="26.25">
      <c r="A21" s="8">
        <v>10</v>
      </c>
      <c r="B21" s="36" t="s">
        <v>38</v>
      </c>
      <c r="C21" s="38" t="s">
        <v>39</v>
      </c>
      <c r="D21" s="8">
        <v>4</v>
      </c>
      <c r="E21" s="34" t="s">
        <v>40</v>
      </c>
      <c r="F21" s="8" t="s">
        <v>16</v>
      </c>
      <c r="G21" s="10">
        <f>IF(B21='[2]Breakdown from VHM BOQ'!B24,'[2]Breakdown from VHM BOQ'!L24,"")</f>
        <v>33950</v>
      </c>
      <c r="H21" s="11">
        <f t="shared" si="1"/>
        <v>135800</v>
      </c>
    </row>
    <row r="22" spans="1:8" ht="26.25">
      <c r="A22" s="8">
        <v>11</v>
      </c>
      <c r="B22" s="39" t="s">
        <v>41</v>
      </c>
      <c r="C22" s="40" t="s">
        <v>42</v>
      </c>
      <c r="D22" s="8">
        <f>(0.6*2*0.85)+(0.6*2*0.7)+0.85*0.7</f>
        <v>2.4550000000000001</v>
      </c>
      <c r="E22" s="34" t="s">
        <v>30</v>
      </c>
      <c r="F22" s="8" t="s">
        <v>16</v>
      </c>
      <c r="G22" s="10">
        <f>IF(B22='[2]Breakdown from VHM BOQ'!B25,'[2]Breakdown from VHM BOQ'!L25,"")</f>
        <v>82450</v>
      </c>
      <c r="H22" s="11">
        <f t="shared" si="1"/>
        <v>202414.75</v>
      </c>
    </row>
    <row r="23" spans="1:8" ht="39.4">
      <c r="A23" s="8">
        <v>12</v>
      </c>
      <c r="B23" s="36" t="s">
        <v>43</v>
      </c>
      <c r="C23" s="38" t="s">
        <v>44</v>
      </c>
      <c r="D23" s="8">
        <f>(0.2*2*0.85)+(0.2*2*0.7)+0.85*0.7</f>
        <v>1.2149999999999999</v>
      </c>
      <c r="E23" s="34" t="s">
        <v>30</v>
      </c>
      <c r="F23" s="8" t="s">
        <v>16</v>
      </c>
      <c r="G23" s="10">
        <f>IF(B23='[2]Breakdown from VHM BOQ'!B26,'[2]Breakdown from VHM BOQ'!L26,"")</f>
        <v>92000</v>
      </c>
      <c r="H23" s="11">
        <f t="shared" si="1"/>
        <v>111779.99999999999</v>
      </c>
    </row>
    <row r="24" spans="1:8" s="26" customFormat="1" ht="31.5">
      <c r="A24" s="48" t="s">
        <v>45</v>
      </c>
      <c r="B24" s="55" t="s">
        <v>106</v>
      </c>
      <c r="C24" s="50"/>
      <c r="D24" s="52"/>
      <c r="E24" s="52"/>
      <c r="F24" s="53"/>
      <c r="G24" s="54"/>
      <c r="H24" s="54">
        <f>SUM(H25:H33)</f>
        <v>1062004</v>
      </c>
    </row>
    <row r="25" spans="1:8" ht="78.75">
      <c r="A25" s="8">
        <v>1</v>
      </c>
      <c r="B25" s="36" t="s">
        <v>24</v>
      </c>
      <c r="C25" s="37" t="s">
        <v>25</v>
      </c>
      <c r="D25" s="8">
        <v>0.1</v>
      </c>
      <c r="E25" s="34" t="s">
        <v>26</v>
      </c>
      <c r="F25" s="8" t="s">
        <v>16</v>
      </c>
      <c r="G25" s="10">
        <f>IF(B25='[2]Breakdown from VHM BOQ'!B28,'[2]Breakdown from VHM BOQ'!L28,"")</f>
        <v>126100</v>
      </c>
      <c r="H25" s="11">
        <f t="shared" si="1"/>
        <v>12610</v>
      </c>
    </row>
    <row r="26" spans="1:8" ht="78.75">
      <c r="A26" s="8">
        <v>4</v>
      </c>
      <c r="B26" s="36" t="s">
        <v>27</v>
      </c>
      <c r="C26" s="38" t="s">
        <v>28</v>
      </c>
      <c r="D26" s="8">
        <v>0.34200000000000003</v>
      </c>
      <c r="E26" s="34" t="s">
        <v>26</v>
      </c>
      <c r="F26" s="8" t="s">
        <v>16</v>
      </c>
      <c r="G26" s="10">
        <f>IF(B26='[2]Breakdown from VHM BOQ'!B31,'[2]Breakdown from VHM BOQ'!L31,"")</f>
        <v>120000</v>
      </c>
      <c r="H26" s="11">
        <f t="shared" si="1"/>
        <v>41040</v>
      </c>
    </row>
    <row r="27" spans="1:8" ht="26.25">
      <c r="A27" s="8">
        <v>5</v>
      </c>
      <c r="B27" s="36" t="s">
        <v>31</v>
      </c>
      <c r="C27" s="38" t="s">
        <v>32</v>
      </c>
      <c r="D27" s="8">
        <v>3.8000000000000006E-2</v>
      </c>
      <c r="E27" s="34" t="s">
        <v>26</v>
      </c>
      <c r="F27" s="8" t="s">
        <v>16</v>
      </c>
      <c r="G27" s="10">
        <f>IF(B27='[2]Breakdown from VHM BOQ'!B32,'[2]Breakdown from VHM BOQ'!L32,"")</f>
        <v>1212500</v>
      </c>
      <c r="H27" s="11">
        <f t="shared" si="1"/>
        <v>46075.000000000007</v>
      </c>
    </row>
    <row r="28" spans="1:8" ht="26.25">
      <c r="A28" s="8">
        <v>6</v>
      </c>
      <c r="B28" s="36" t="s">
        <v>33</v>
      </c>
      <c r="C28" s="38" t="s">
        <v>34</v>
      </c>
      <c r="D28" s="8">
        <v>0.1</v>
      </c>
      <c r="E28" s="34" t="s">
        <v>26</v>
      </c>
      <c r="F28" s="8" t="s">
        <v>16</v>
      </c>
      <c r="G28" s="10">
        <f>IF(B28='[2]Breakdown from VHM BOQ'!B33,'[2]Breakdown from VHM BOQ'!L33,"")</f>
        <v>1746000</v>
      </c>
      <c r="H28" s="11">
        <f t="shared" si="1"/>
        <v>174600</v>
      </c>
    </row>
    <row r="29" spans="1:8" ht="26.25">
      <c r="A29" s="8">
        <v>7</v>
      </c>
      <c r="B29" s="39" t="s">
        <v>35</v>
      </c>
      <c r="C29" s="40" t="s">
        <v>36</v>
      </c>
      <c r="D29" s="8">
        <v>0.62</v>
      </c>
      <c r="E29" s="34" t="s">
        <v>30</v>
      </c>
      <c r="F29" s="8" t="s">
        <v>16</v>
      </c>
      <c r="G29" s="10">
        <f>IF(B29='[2]Breakdown from VHM BOQ'!B34,'[2]Breakdown from VHM BOQ'!L34,"")</f>
        <v>294000</v>
      </c>
      <c r="H29" s="11">
        <f t="shared" si="1"/>
        <v>182280</v>
      </c>
    </row>
    <row r="30" spans="1:8" ht="39.4">
      <c r="A30" s="8">
        <v>8</v>
      </c>
      <c r="B30" s="39" t="s">
        <v>37</v>
      </c>
      <c r="C30" s="40" t="s">
        <v>36</v>
      </c>
      <c r="D30" s="8">
        <v>1.1000000000000001</v>
      </c>
      <c r="E30" s="34" t="s">
        <v>30</v>
      </c>
      <c r="F30" s="8" t="s">
        <v>16</v>
      </c>
      <c r="G30" s="10">
        <f>IF(B30='[2]Breakdown from VHM BOQ'!B35,'[2]Breakdown from VHM BOQ'!L35,"")</f>
        <v>302640</v>
      </c>
      <c r="H30" s="11">
        <f t="shared" si="1"/>
        <v>332904</v>
      </c>
    </row>
    <row r="31" spans="1:8" ht="26.25">
      <c r="A31" s="8">
        <v>9</v>
      </c>
      <c r="B31" s="36" t="s">
        <v>38</v>
      </c>
      <c r="C31" s="38" t="s">
        <v>39</v>
      </c>
      <c r="D31" s="8">
        <v>4</v>
      </c>
      <c r="E31" s="34" t="s">
        <v>40</v>
      </c>
      <c r="F31" s="8" t="s">
        <v>16</v>
      </c>
      <c r="G31" s="10">
        <f>IF(B31='[2]Breakdown from VHM BOQ'!B36,'[2]Breakdown from VHM BOQ'!L36,"")</f>
        <v>33950</v>
      </c>
      <c r="H31" s="11">
        <f t="shared" si="1"/>
        <v>135800</v>
      </c>
    </row>
    <row r="32" spans="1:8" ht="26.25">
      <c r="A32" s="8">
        <v>10</v>
      </c>
      <c r="B32" s="39" t="s">
        <v>41</v>
      </c>
      <c r="C32" s="40" t="s">
        <v>42</v>
      </c>
      <c r="D32" s="8">
        <v>1.1000000000000001</v>
      </c>
      <c r="E32" s="34" t="s">
        <v>30</v>
      </c>
      <c r="F32" s="8" t="s">
        <v>16</v>
      </c>
      <c r="G32" s="10">
        <f>IF(B32='[2]Breakdown from VHM BOQ'!B37,'[2]Breakdown from VHM BOQ'!L37,"")</f>
        <v>82450</v>
      </c>
      <c r="H32" s="11">
        <f t="shared" si="1"/>
        <v>90695.000000000015</v>
      </c>
    </row>
    <row r="33" spans="1:8" ht="39.4">
      <c r="A33" s="8">
        <v>11</v>
      </c>
      <c r="B33" s="36" t="s">
        <v>43</v>
      </c>
      <c r="C33" s="38" t="s">
        <v>44</v>
      </c>
      <c r="D33" s="8">
        <v>0.5</v>
      </c>
      <c r="E33" s="34" t="s">
        <v>30</v>
      </c>
      <c r="F33" s="8" t="s">
        <v>16</v>
      </c>
      <c r="G33" s="10">
        <f>IF(B33='[2]Breakdown from VHM BOQ'!B38,'[2]Breakdown from VHM BOQ'!L38,"")</f>
        <v>92000</v>
      </c>
      <c r="H33" s="11">
        <f t="shared" si="1"/>
        <v>46000</v>
      </c>
    </row>
    <row r="34" spans="1:8" s="26" customFormat="1" ht="15.75">
      <c r="A34" s="48" t="s">
        <v>47</v>
      </c>
      <c r="B34" s="49" t="s">
        <v>48</v>
      </c>
      <c r="C34" s="50"/>
      <c r="D34" s="52"/>
      <c r="E34" s="52"/>
      <c r="F34" s="53"/>
      <c r="G34" s="54"/>
      <c r="H34" s="51">
        <f>SUM(H35:H36)</f>
        <v>1096100</v>
      </c>
    </row>
    <row r="35" spans="1:8" ht="196.9">
      <c r="A35" s="8">
        <v>1</v>
      </c>
      <c r="B35" s="35" t="s">
        <v>49</v>
      </c>
      <c r="C35" s="33" t="s">
        <v>50</v>
      </c>
      <c r="D35" s="8">
        <v>5</v>
      </c>
      <c r="E35" s="34" t="s">
        <v>30</v>
      </c>
      <c r="F35" s="8" t="s">
        <v>16</v>
      </c>
      <c r="G35" s="10">
        <f>IF(B35='[2]Breakdown from VHM BOQ'!B40,'[2]Breakdown from VHM BOQ'!L40,"")</f>
        <v>48500</v>
      </c>
      <c r="H35" s="11">
        <f t="shared" ref="H35:H39" si="2">D35*G35</f>
        <v>242500</v>
      </c>
    </row>
    <row r="36" spans="1:8" ht="39.4">
      <c r="A36" s="8">
        <v>2</v>
      </c>
      <c r="B36" s="35" t="s">
        <v>51</v>
      </c>
      <c r="C36" s="33" t="s">
        <v>52</v>
      </c>
      <c r="D36" s="8">
        <v>4</v>
      </c>
      <c r="E36" s="34" t="s">
        <v>57</v>
      </c>
      <c r="F36" s="8" t="s">
        <v>16</v>
      </c>
      <c r="G36" s="10">
        <f>IF(B36='[2]Breakdown from VHM BOQ'!B41,'[2]Breakdown from VHM BOQ'!L41,"")</f>
        <v>213400</v>
      </c>
      <c r="H36" s="11">
        <f t="shared" si="2"/>
        <v>853600</v>
      </c>
    </row>
    <row r="37" spans="1:8" s="26" customFormat="1" ht="15.75">
      <c r="A37" s="48" t="s">
        <v>54</v>
      </c>
      <c r="B37" s="49" t="s">
        <v>55</v>
      </c>
      <c r="C37" s="50"/>
      <c r="D37" s="52"/>
      <c r="E37" s="52"/>
      <c r="F37" s="53"/>
      <c r="G37" s="54"/>
      <c r="H37" s="54">
        <f>SUM(H38:H39)</f>
        <v>2333594.5</v>
      </c>
    </row>
    <row r="38" spans="1:8">
      <c r="A38" s="8">
        <v>1</v>
      </c>
      <c r="B38" s="35" t="s">
        <v>56</v>
      </c>
      <c r="C38" s="33"/>
      <c r="D38" s="8">
        <v>1</v>
      </c>
      <c r="E38" s="34" t="s">
        <v>57</v>
      </c>
      <c r="F38" s="8" t="s">
        <v>16</v>
      </c>
      <c r="G38" s="10">
        <f>IF(B38='[2]Breakdown from VHM BOQ'!B43,'[2]Breakdown from VHM BOQ'!L43,"")</f>
        <v>1420000</v>
      </c>
      <c r="H38" s="11">
        <f t="shared" si="2"/>
        <v>1420000</v>
      </c>
    </row>
    <row r="39" spans="1:8" ht="39.4">
      <c r="A39" s="8">
        <v>2</v>
      </c>
      <c r="B39" s="35" t="s">
        <v>58</v>
      </c>
      <c r="C39" s="33" t="s">
        <v>59</v>
      </c>
      <c r="D39" s="8">
        <v>1</v>
      </c>
      <c r="E39" s="34" t="s">
        <v>57</v>
      </c>
      <c r="F39" s="8" t="s">
        <v>16</v>
      </c>
      <c r="G39" s="10">
        <f>IF(B39='[2]Breakdown from VHM BOQ'!B44,'[2]Breakdown from VHM BOQ'!L44,"")</f>
        <v>913594.49999999988</v>
      </c>
      <c r="H39" s="11">
        <f t="shared" si="2"/>
        <v>913594.49999999988</v>
      </c>
    </row>
    <row r="40" spans="1:8" s="26" customFormat="1" ht="31.5">
      <c r="A40" s="48" t="s">
        <v>60</v>
      </c>
      <c r="B40" s="49" t="s">
        <v>61</v>
      </c>
      <c r="C40" s="50"/>
      <c r="D40" s="52"/>
      <c r="E40" s="52"/>
      <c r="F40" s="53"/>
      <c r="G40" s="54"/>
      <c r="H40" s="51">
        <f>SUM(H41)</f>
        <v>10670000</v>
      </c>
    </row>
    <row r="41" spans="1:8" ht="26.25">
      <c r="A41" s="8">
        <v>3</v>
      </c>
      <c r="B41" s="41" t="s">
        <v>107</v>
      </c>
      <c r="C41" s="33"/>
      <c r="D41" s="8">
        <v>1</v>
      </c>
      <c r="E41" s="34" t="s">
        <v>63</v>
      </c>
      <c r="F41" s="8" t="s">
        <v>64</v>
      </c>
      <c r="G41" s="10">
        <f>IF(B41='[2]Breakdown from VHM BOQ'!B49,'[2]Breakdown from VHM BOQ'!L49,"")</f>
        <v>10670000</v>
      </c>
      <c r="H41" s="11">
        <f t="shared" ref="H41" si="3">D41*G41</f>
        <v>10670000</v>
      </c>
    </row>
    <row r="42" spans="1:8" s="26" customFormat="1" ht="15.75">
      <c r="A42" s="48" t="s">
        <v>60</v>
      </c>
      <c r="B42" s="49" t="s">
        <v>65</v>
      </c>
      <c r="C42" s="50"/>
      <c r="D42" s="52"/>
      <c r="E42" s="52"/>
      <c r="F42" s="53"/>
      <c r="G42" s="54"/>
      <c r="H42" s="51">
        <f>SUM(H43)</f>
        <v>1500000</v>
      </c>
    </row>
    <row r="43" spans="1:8">
      <c r="A43" s="8">
        <v>1</v>
      </c>
      <c r="B43" s="41" t="s">
        <v>66</v>
      </c>
      <c r="C43" s="33"/>
      <c r="D43" s="8">
        <v>1</v>
      </c>
      <c r="E43" s="34" t="s">
        <v>53</v>
      </c>
      <c r="F43" s="8" t="s">
        <v>16</v>
      </c>
      <c r="G43" s="10">
        <v>1500000</v>
      </c>
      <c r="H43" s="11">
        <f t="shared" ref="H43" si="4">D43*G43</f>
        <v>1500000</v>
      </c>
    </row>
    <row r="44" spans="1:8" s="26" customFormat="1" ht="15.75">
      <c r="A44" s="48" t="s">
        <v>67</v>
      </c>
      <c r="B44" s="49" t="s">
        <v>68</v>
      </c>
      <c r="C44" s="50"/>
      <c r="D44" s="52"/>
      <c r="E44" s="52"/>
      <c r="F44" s="53"/>
      <c r="G44" s="54"/>
      <c r="H44" s="51">
        <f>SUM(H45:H46)</f>
        <v>6420000</v>
      </c>
    </row>
    <row r="45" spans="1:8">
      <c r="A45" s="8">
        <v>2</v>
      </c>
      <c r="B45" s="42" t="s">
        <v>108</v>
      </c>
      <c r="C45" s="33"/>
      <c r="D45" s="8">
        <v>1</v>
      </c>
      <c r="E45" s="34" t="s">
        <v>53</v>
      </c>
      <c r="F45" s="8" t="s">
        <v>16</v>
      </c>
      <c r="G45" s="10">
        <f>IF(B45='[2]Breakdown from VHM BOQ'!B55,'[2]Breakdown from VHM BOQ'!L55,"")</f>
        <v>5820000</v>
      </c>
      <c r="H45" s="11">
        <f t="shared" ref="H45:H46" si="5">D45*G45</f>
        <v>5820000</v>
      </c>
    </row>
    <row r="46" spans="1:8">
      <c r="A46" s="8">
        <v>5</v>
      </c>
      <c r="B46" s="18" t="s">
        <v>70</v>
      </c>
      <c r="C46" s="33"/>
      <c r="D46" s="8">
        <v>6</v>
      </c>
      <c r="E46" s="34" t="s">
        <v>71</v>
      </c>
      <c r="F46" s="8" t="s">
        <v>16</v>
      </c>
      <c r="G46" s="10">
        <f>IF(B46='[2]Breakdown from VHM BOQ'!B58,'[2]Breakdown from VHM BOQ'!L58,"")</f>
        <v>100000</v>
      </c>
      <c r="H46" s="11">
        <f t="shared" si="5"/>
        <v>600000</v>
      </c>
    </row>
    <row r="47" spans="1:8" s="26" customFormat="1" ht="31.5">
      <c r="A47" s="48" t="s">
        <v>72</v>
      </c>
      <c r="B47" s="56" t="s">
        <v>73</v>
      </c>
      <c r="C47" s="57"/>
      <c r="D47" s="52"/>
      <c r="E47" s="52"/>
      <c r="F47" s="53"/>
      <c r="G47" s="54"/>
      <c r="H47" s="51">
        <f>SUM(H48:H55)</f>
        <v>26074164.950000003</v>
      </c>
    </row>
    <row r="48" spans="1:8" ht="39.4">
      <c r="A48" s="8">
        <v>7</v>
      </c>
      <c r="B48" s="18" t="s">
        <v>109</v>
      </c>
      <c r="C48" s="33"/>
      <c r="D48" s="8">
        <v>20</v>
      </c>
      <c r="E48" s="34" t="s">
        <v>75</v>
      </c>
      <c r="F48" s="19" t="s">
        <v>76</v>
      </c>
      <c r="G48" s="10">
        <f>IF(B48='[2]Breakdown from VHM BOQ'!B66,'[2]Breakdown from VHM BOQ'!L66,"")</f>
        <v>265438.92375000002</v>
      </c>
      <c r="H48" s="11">
        <f>D48*G48</f>
        <v>5308778.4750000006</v>
      </c>
    </row>
    <row r="49" spans="1:9" ht="39.4">
      <c r="A49" s="8">
        <v>8</v>
      </c>
      <c r="B49" s="18" t="s">
        <v>110</v>
      </c>
      <c r="C49" s="33"/>
      <c r="D49" s="8">
        <v>20</v>
      </c>
      <c r="E49" s="34" t="s">
        <v>75</v>
      </c>
      <c r="F49" s="19" t="s">
        <v>76</v>
      </c>
      <c r="G49" s="10">
        <f>IF(B49='[2]Breakdown from VHM BOQ'!B67,'[2]Breakdown from VHM BOQ'!L67,"")</f>
        <v>265438.92375000002</v>
      </c>
      <c r="H49" s="11">
        <f>D49*G49</f>
        <v>5308778.4750000006</v>
      </c>
    </row>
    <row r="50" spans="1:9" ht="39.4">
      <c r="A50" s="8">
        <v>9</v>
      </c>
      <c r="B50" s="18" t="s">
        <v>111</v>
      </c>
      <c r="C50" s="33"/>
      <c r="D50" s="8">
        <v>15</v>
      </c>
      <c r="E50" s="34" t="s">
        <v>75</v>
      </c>
      <c r="F50" s="19" t="s">
        <v>76</v>
      </c>
      <c r="G50" s="10">
        <f>IF(B50='[2]Breakdown from VHM BOQ'!B68,'[2]Breakdown from VHM BOQ'!L68,"")</f>
        <v>55500</v>
      </c>
      <c r="H50" s="11">
        <f>D50*G50</f>
        <v>832500</v>
      </c>
    </row>
    <row r="51" spans="1:9">
      <c r="A51" s="8">
        <v>14</v>
      </c>
      <c r="B51" s="18" t="s">
        <v>112</v>
      </c>
      <c r="C51" s="33"/>
      <c r="D51" s="8">
        <v>60</v>
      </c>
      <c r="E51" s="34" t="s">
        <v>75</v>
      </c>
      <c r="F51" s="8" t="s">
        <v>16</v>
      </c>
      <c r="G51" s="10">
        <v>99910</v>
      </c>
      <c r="H51" s="11">
        <f t="shared" ref="H51:H56" si="6">D51*G51</f>
        <v>5994600</v>
      </c>
    </row>
    <row r="52" spans="1:9" ht="26.25">
      <c r="A52" s="8">
        <v>17</v>
      </c>
      <c r="B52" s="18" t="s">
        <v>80</v>
      </c>
      <c r="C52" s="17" t="s">
        <v>81</v>
      </c>
      <c r="D52" s="8">
        <f>D51*0.6*0.9</f>
        <v>32.4</v>
      </c>
      <c r="E52" s="34" t="s">
        <v>26</v>
      </c>
      <c r="F52" s="8"/>
      <c r="G52" s="10">
        <f>IF(B52='[2]Breakdown from VHM BOQ'!B76,'[2]Breakdown from VHM BOQ'!L76,"")</f>
        <v>116400</v>
      </c>
      <c r="H52" s="11">
        <f t="shared" si="6"/>
        <v>3771360</v>
      </c>
    </row>
    <row r="53" spans="1:9">
      <c r="A53" s="8">
        <v>18</v>
      </c>
      <c r="B53" s="18" t="s">
        <v>82</v>
      </c>
      <c r="C53" s="17" t="s">
        <v>83</v>
      </c>
      <c r="D53" s="8">
        <f t="shared" ref="D53" si="7">D52*0.8</f>
        <v>25.92</v>
      </c>
      <c r="E53" s="34" t="s">
        <v>26</v>
      </c>
      <c r="F53" s="8"/>
      <c r="G53" s="10">
        <f>IF(B53='[2]Breakdown from VHM BOQ'!B77,'[2]Breakdown from VHM BOQ'!L77,"")</f>
        <v>140650</v>
      </c>
      <c r="H53" s="11">
        <f t="shared" si="6"/>
        <v>3645648.0000000005</v>
      </c>
    </row>
    <row r="54" spans="1:9">
      <c r="A54" s="8">
        <v>19</v>
      </c>
      <c r="B54" s="18" t="s">
        <v>84</v>
      </c>
      <c r="C54" s="17"/>
      <c r="D54" s="8">
        <f>D51</f>
        <v>60</v>
      </c>
      <c r="E54" s="34" t="s">
        <v>85</v>
      </c>
      <c r="F54" s="8"/>
      <c r="G54" s="10">
        <f>IF(B54='[2]Breakdown from VHM BOQ'!B78,'[2]Breakdown from VHM BOQ'!L78,"")</f>
        <v>14550</v>
      </c>
      <c r="H54" s="11">
        <f t="shared" si="6"/>
        <v>873000</v>
      </c>
    </row>
    <row r="55" spans="1:9" ht="144.4">
      <c r="A55" s="8">
        <v>20</v>
      </c>
      <c r="B55" s="35" t="s">
        <v>86</v>
      </c>
      <c r="C55" s="33"/>
      <c r="D55" s="8">
        <v>1</v>
      </c>
      <c r="E55" s="34" t="s">
        <v>57</v>
      </c>
      <c r="F55" s="8" t="s">
        <v>16</v>
      </c>
      <c r="G55" s="10">
        <f>IF(B55='[2]Breakdown from VHM BOQ'!B79,'[2]Breakdown from VHM BOQ'!L79,"")</f>
        <v>339500</v>
      </c>
      <c r="H55" s="11">
        <f t="shared" si="6"/>
        <v>339500</v>
      </c>
    </row>
    <row r="56" spans="1:9" s="26" customFormat="1" ht="31.5">
      <c r="A56" s="48" t="s">
        <v>87</v>
      </c>
      <c r="B56" s="56" t="s">
        <v>88</v>
      </c>
      <c r="C56" s="57"/>
      <c r="D56" s="52">
        <v>1</v>
      </c>
      <c r="E56" s="52"/>
      <c r="F56" s="53"/>
      <c r="G56" s="58">
        <f>IF(B56='[2]Breakdown from VHM BOQ'!B80,'[2]Breakdown from VHM BOQ'!L80,"")</f>
        <v>1000000</v>
      </c>
      <c r="H56" s="51">
        <f t="shared" si="6"/>
        <v>1000000</v>
      </c>
    </row>
    <row r="57" spans="1:9" s="26" customFormat="1" ht="15.75">
      <c r="A57" s="48" t="s">
        <v>22</v>
      </c>
      <c r="B57" s="56" t="s">
        <v>102</v>
      </c>
      <c r="C57" s="57"/>
      <c r="D57" s="52"/>
      <c r="E57" s="52"/>
      <c r="F57" s="53"/>
      <c r="G57" s="58"/>
      <c r="H57" s="51">
        <f>SUM(H7,H13,H24,H34,H37,H40,H42,H44,H47,H56)</f>
        <v>61124678.809009008</v>
      </c>
      <c r="I57" s="65"/>
    </row>
  </sheetData>
  <mergeCells count="4">
    <mergeCell ref="A1:B1"/>
    <mergeCell ref="A3:E3"/>
    <mergeCell ref="D6:E6"/>
    <mergeCell ref="G5:H5"/>
  </mergeCells>
  <pageMargins left="0.35433070866141736" right="0.23622047244094491" top="0.74803149606299213" bottom="0.74803149606299213" header="0.31496062992125984" footer="0.31496062992125984"/>
  <pageSetup paperSize="9" scale="21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23B3-EDF4-4A19-9C34-9BB590CDA69A}">
  <dimension ref="A2:H81"/>
  <sheetViews>
    <sheetView zoomScale="85" zoomScaleNormal="118" workbookViewId="0">
      <selection activeCell="B24" sqref="B24"/>
    </sheetView>
  </sheetViews>
  <sheetFormatPr defaultColWidth="14.46484375" defaultRowHeight="15" customHeight="1"/>
  <cols>
    <col min="1" max="1" width="8.796875" style="76" customWidth="1"/>
    <col min="2" max="2" width="53.46484375" style="76" customWidth="1"/>
    <col min="3" max="3" width="5.19921875" style="76" customWidth="1"/>
    <col min="4" max="4" width="5.796875" style="76" customWidth="1"/>
    <col min="5" max="5" width="34.46484375" style="76" bestFit="1" customWidth="1"/>
    <col min="6" max="6" width="19.19921875" style="76" customWidth="1"/>
    <col min="7" max="7" width="15" style="76" customWidth="1"/>
    <col min="8" max="8" width="10.33203125" style="76" bestFit="1" customWidth="1"/>
    <col min="9" max="9" width="13.796875" style="76" customWidth="1"/>
    <col min="10" max="10" width="11.19921875" style="76" customWidth="1"/>
    <col min="11" max="11" width="8.796875" style="76" customWidth="1"/>
    <col min="12" max="16384" width="14.46484375" style="76"/>
  </cols>
  <sheetData>
    <row r="2" spans="1:7" ht="18">
      <c r="A2" s="132" t="s">
        <v>114</v>
      </c>
      <c r="B2" s="129"/>
      <c r="C2" s="125"/>
      <c r="D2" s="125"/>
      <c r="E2" s="125"/>
      <c r="F2" s="127"/>
      <c r="G2" s="127"/>
    </row>
    <row r="3" spans="1:7" ht="14.25">
      <c r="A3" s="126" t="s">
        <v>1</v>
      </c>
      <c r="B3" s="131"/>
      <c r="C3" s="127"/>
      <c r="D3" s="127"/>
      <c r="E3" s="127"/>
      <c r="F3" s="127"/>
      <c r="G3" s="127"/>
    </row>
    <row r="4" spans="1:7" ht="14.25">
      <c r="A4" s="130" t="s">
        <v>2</v>
      </c>
      <c r="B4" s="129"/>
      <c r="C4" s="129"/>
      <c r="D4" s="129"/>
      <c r="E4" s="129"/>
      <c r="F4" s="127"/>
      <c r="G4" s="127"/>
    </row>
    <row r="5" spans="1:7" ht="14.25">
      <c r="A5" s="128"/>
      <c r="B5" s="128"/>
      <c r="C5" s="128"/>
      <c r="D5" s="128"/>
      <c r="E5" s="128"/>
      <c r="F5" s="127"/>
      <c r="G5" s="127"/>
    </row>
    <row r="6" spans="1:7" ht="15.75" customHeight="1">
      <c r="A6" s="127"/>
      <c r="B6" s="126"/>
      <c r="C6" s="125"/>
      <c r="D6" s="125"/>
      <c r="E6" s="124" t="s">
        <v>154</v>
      </c>
      <c r="F6" s="123"/>
      <c r="G6" s="122"/>
    </row>
    <row r="7" spans="1:7" ht="14.25">
      <c r="A7" s="119" t="s">
        <v>3</v>
      </c>
      <c r="B7" s="119" t="s">
        <v>4</v>
      </c>
      <c r="C7" s="121" t="s">
        <v>6</v>
      </c>
      <c r="D7" s="120"/>
      <c r="E7" s="119" t="s">
        <v>7</v>
      </c>
      <c r="F7" s="118" t="s">
        <v>116</v>
      </c>
      <c r="G7" s="118" t="s">
        <v>117</v>
      </c>
    </row>
    <row r="8" spans="1:7" ht="14.25">
      <c r="A8" s="112" t="s">
        <v>10</v>
      </c>
      <c r="B8" s="111" t="s">
        <v>11</v>
      </c>
      <c r="C8" s="112">
        <v>1</v>
      </c>
      <c r="D8" s="112" t="s">
        <v>13</v>
      </c>
      <c r="E8" s="112"/>
      <c r="F8" s="108"/>
      <c r="G8" s="108">
        <f>SUM(G9:G12)</f>
        <v>3300000</v>
      </c>
    </row>
    <row r="9" spans="1:7" ht="14.25">
      <c r="A9" s="88">
        <v>1</v>
      </c>
      <c r="B9" s="91" t="s">
        <v>14</v>
      </c>
      <c r="C9" s="88">
        <v>7700</v>
      </c>
      <c r="D9" s="88" t="s">
        <v>15</v>
      </c>
      <c r="E9" s="88"/>
      <c r="F9" s="84">
        <v>86</v>
      </c>
      <c r="G9" s="84">
        <f>C9*F9</f>
        <v>662200</v>
      </c>
    </row>
    <row r="10" spans="1:7" ht="14.25">
      <c r="A10" s="88">
        <v>2</v>
      </c>
      <c r="B10" s="91" t="s">
        <v>17</v>
      </c>
      <c r="C10" s="88">
        <v>7700</v>
      </c>
      <c r="D10" s="88" t="s">
        <v>15</v>
      </c>
      <c r="E10" s="88"/>
      <c r="F10" s="84">
        <v>86</v>
      </c>
      <c r="G10" s="84">
        <f>C10*F10</f>
        <v>662200</v>
      </c>
    </row>
    <row r="11" spans="1:7" ht="14.25">
      <c r="A11" s="88">
        <v>3</v>
      </c>
      <c r="B11" s="91" t="s">
        <v>18</v>
      </c>
      <c r="C11" s="88">
        <v>1</v>
      </c>
      <c r="D11" s="88" t="s">
        <v>13</v>
      </c>
      <c r="E11" s="88"/>
      <c r="F11" s="84">
        <v>2300000</v>
      </c>
      <c r="G11" s="84">
        <f>C11*F11</f>
        <v>2300000</v>
      </c>
    </row>
    <row r="12" spans="1:7" ht="14.25">
      <c r="A12" s="88"/>
      <c r="B12" s="117" t="s">
        <v>19</v>
      </c>
      <c r="C12" s="116">
        <v>1</v>
      </c>
      <c r="D12" s="116"/>
      <c r="E12" s="116"/>
      <c r="F12" s="115">
        <v>-324400</v>
      </c>
      <c r="G12" s="115">
        <f>F12*C12</f>
        <v>-324400</v>
      </c>
    </row>
    <row r="13" spans="1:7" ht="14.25">
      <c r="A13" s="112" t="s">
        <v>20</v>
      </c>
      <c r="B13" s="111" t="s">
        <v>118</v>
      </c>
      <c r="C13" s="110">
        <v>1</v>
      </c>
      <c r="D13" s="110" t="s">
        <v>71</v>
      </c>
      <c r="E13" s="110"/>
      <c r="F13" s="109"/>
      <c r="G13" s="108">
        <f>SUM(G14:G15)</f>
        <v>1050000</v>
      </c>
    </row>
    <row r="14" spans="1:7" ht="14.25">
      <c r="A14" s="88">
        <v>1</v>
      </c>
      <c r="B14" s="89" t="s">
        <v>119</v>
      </c>
      <c r="C14" s="88">
        <v>1</v>
      </c>
      <c r="D14" s="88" t="s">
        <v>120</v>
      </c>
      <c r="E14" s="88" t="s">
        <v>16</v>
      </c>
      <c r="F14" s="84">
        <v>250000</v>
      </c>
      <c r="G14" s="84">
        <f>C14*F14</f>
        <v>250000</v>
      </c>
    </row>
    <row r="15" spans="1:7" ht="14.25">
      <c r="A15" s="88">
        <v>2</v>
      </c>
      <c r="B15" s="91" t="s">
        <v>121</v>
      </c>
      <c r="C15" s="88">
        <v>1</v>
      </c>
      <c r="D15" s="88" t="s">
        <v>71</v>
      </c>
      <c r="E15" s="88" t="s">
        <v>16</v>
      </c>
      <c r="F15" s="84">
        <v>800000</v>
      </c>
      <c r="G15" s="84">
        <f>C15*F15</f>
        <v>800000</v>
      </c>
    </row>
    <row r="16" spans="1:7" ht="14.25">
      <c r="A16" s="88"/>
      <c r="B16" s="91"/>
      <c r="C16" s="88"/>
      <c r="D16" s="88"/>
      <c r="E16" s="88"/>
      <c r="F16" s="84"/>
      <c r="G16" s="84"/>
    </row>
    <row r="17" spans="1:8" ht="14.25">
      <c r="A17" s="112" t="s">
        <v>47</v>
      </c>
      <c r="B17" s="111" t="s">
        <v>61</v>
      </c>
      <c r="C17" s="110"/>
      <c r="D17" s="110"/>
      <c r="E17" s="110"/>
      <c r="F17" s="109"/>
      <c r="G17" s="108">
        <f>SUM(G18)</f>
        <v>1500000</v>
      </c>
    </row>
    <row r="18" spans="1:8" ht="14.25">
      <c r="A18" s="88">
        <v>1</v>
      </c>
      <c r="B18" s="91" t="s">
        <v>122</v>
      </c>
      <c r="C18" s="88">
        <v>1</v>
      </c>
      <c r="D18" s="88" t="s">
        <v>71</v>
      </c>
      <c r="E18" s="88" t="s">
        <v>123</v>
      </c>
      <c r="F18" s="84">
        <v>1500000</v>
      </c>
      <c r="G18" s="84">
        <f>C18*F18</f>
        <v>1500000</v>
      </c>
    </row>
    <row r="19" spans="1:8" ht="15.75" customHeight="1">
      <c r="A19" s="114"/>
      <c r="B19" s="113"/>
      <c r="C19" s="88"/>
      <c r="D19" s="88"/>
      <c r="E19" s="88"/>
      <c r="F19" s="84"/>
      <c r="G19" s="84"/>
    </row>
    <row r="20" spans="1:8" ht="15.75" customHeight="1">
      <c r="A20" s="112" t="s">
        <v>54</v>
      </c>
      <c r="B20" s="111" t="s">
        <v>73</v>
      </c>
      <c r="C20" s="110"/>
      <c r="D20" s="110"/>
      <c r="E20" s="110"/>
      <c r="F20" s="109"/>
      <c r="G20" s="108">
        <f>SUM(G21:G25)</f>
        <v>4475000</v>
      </c>
    </row>
    <row r="21" spans="1:8" ht="15.75" customHeight="1">
      <c r="A21" s="88">
        <v>1</v>
      </c>
      <c r="B21" s="93" t="s">
        <v>124</v>
      </c>
      <c r="C21" s="88">
        <v>15</v>
      </c>
      <c r="D21" s="88" t="s">
        <v>125</v>
      </c>
      <c r="E21" s="106" t="s">
        <v>76</v>
      </c>
      <c r="F21" s="107">
        <v>150000</v>
      </c>
      <c r="G21" s="84">
        <f>C21*F21</f>
        <v>2250000</v>
      </c>
    </row>
    <row r="22" spans="1:8" ht="15.75" customHeight="1">
      <c r="A22" s="88">
        <v>2</v>
      </c>
      <c r="B22" s="91" t="s">
        <v>126</v>
      </c>
      <c r="C22" s="88">
        <v>5</v>
      </c>
      <c r="D22" s="88" t="s">
        <v>125</v>
      </c>
      <c r="E22" s="106" t="s">
        <v>76</v>
      </c>
      <c r="F22" s="107">
        <v>50000</v>
      </c>
      <c r="G22" s="84">
        <f>C22*F22</f>
        <v>250000</v>
      </c>
    </row>
    <row r="23" spans="1:8" ht="15.75" customHeight="1">
      <c r="A23" s="88">
        <v>3</v>
      </c>
      <c r="B23" s="91" t="s">
        <v>127</v>
      </c>
      <c r="C23" s="88">
        <v>15</v>
      </c>
      <c r="D23" s="88" t="s">
        <v>125</v>
      </c>
      <c r="E23" s="106" t="s">
        <v>76</v>
      </c>
      <c r="F23" s="84">
        <v>35000</v>
      </c>
      <c r="G23" s="84">
        <f>C23*F23</f>
        <v>525000</v>
      </c>
    </row>
    <row r="24" spans="1:8" ht="15.75" customHeight="1">
      <c r="A24" s="88">
        <v>4</v>
      </c>
      <c r="B24" s="91" t="s">
        <v>65</v>
      </c>
      <c r="C24" s="88">
        <v>1</v>
      </c>
      <c r="D24" s="88" t="s">
        <v>53</v>
      </c>
      <c r="E24" s="88"/>
      <c r="F24" s="84">
        <v>1000000</v>
      </c>
      <c r="G24" s="84">
        <f>C24*F24</f>
        <v>1000000</v>
      </c>
    </row>
    <row r="25" spans="1:8" ht="15.75" customHeight="1">
      <c r="A25" s="88">
        <v>5</v>
      </c>
      <c r="B25" s="91" t="s">
        <v>128</v>
      </c>
      <c r="C25" s="88">
        <v>15</v>
      </c>
      <c r="D25" s="88" t="s">
        <v>125</v>
      </c>
      <c r="E25" s="88" t="s">
        <v>129</v>
      </c>
      <c r="F25" s="84">
        <v>30000</v>
      </c>
      <c r="G25" s="84">
        <f>C25*F25</f>
        <v>450000</v>
      </c>
    </row>
    <row r="26" spans="1:8" ht="15.75" customHeight="1">
      <c r="A26" s="91"/>
      <c r="B26" s="105"/>
      <c r="C26" s="104"/>
      <c r="D26" s="104"/>
      <c r="E26" s="104"/>
      <c r="F26" s="103"/>
      <c r="G26" s="84"/>
    </row>
    <row r="27" spans="1:8" ht="15.75" customHeight="1">
      <c r="A27" s="100" t="s">
        <v>60</v>
      </c>
      <c r="B27" s="102" t="s">
        <v>88</v>
      </c>
      <c r="C27" s="98">
        <v>1</v>
      </c>
      <c r="D27" s="98" t="s">
        <v>13</v>
      </c>
      <c r="E27" s="98"/>
      <c r="F27" s="101">
        <v>500000</v>
      </c>
      <c r="G27" s="95">
        <f>C27*F27</f>
        <v>500000</v>
      </c>
    </row>
    <row r="28" spans="1:8" ht="15.75" customHeight="1">
      <c r="A28" s="100" t="s">
        <v>67</v>
      </c>
      <c r="B28" s="99" t="s">
        <v>130</v>
      </c>
      <c r="C28" s="98"/>
      <c r="D28" s="98"/>
      <c r="E28" s="97"/>
      <c r="F28" s="96"/>
      <c r="G28" s="95">
        <f>SUM(G29:G34)</f>
        <v>472750</v>
      </c>
    </row>
    <row r="29" spans="1:8" ht="15.75" customHeight="1">
      <c r="A29" s="88">
        <v>1</v>
      </c>
      <c r="B29" s="94" t="s">
        <v>131</v>
      </c>
      <c r="C29" s="93" t="s">
        <v>132</v>
      </c>
      <c r="D29" s="92" t="s">
        <v>30</v>
      </c>
      <c r="E29" s="92" t="s">
        <v>133</v>
      </c>
      <c r="F29" s="84">
        <v>69500</v>
      </c>
      <c r="G29" s="84">
        <v>43750</v>
      </c>
      <c r="H29" s="77">
        <f>F29*C29</f>
        <v>43785</v>
      </c>
    </row>
    <row r="30" spans="1:8" ht="37.450000000000003" customHeight="1">
      <c r="A30" s="88">
        <v>2</v>
      </c>
      <c r="B30" s="89" t="s">
        <v>134</v>
      </c>
      <c r="C30" s="91" t="s">
        <v>135</v>
      </c>
      <c r="D30" s="88" t="s">
        <v>26</v>
      </c>
      <c r="E30" s="88" t="s">
        <v>133</v>
      </c>
      <c r="F30" s="84">
        <v>1700000</v>
      </c>
      <c r="G30" s="84">
        <v>136000</v>
      </c>
    </row>
    <row r="31" spans="1:8" ht="41.55" customHeight="1">
      <c r="A31" s="88">
        <v>3</v>
      </c>
      <c r="B31" s="89" t="s">
        <v>136</v>
      </c>
      <c r="C31" s="91" t="s">
        <v>137</v>
      </c>
      <c r="D31" s="88" t="s">
        <v>30</v>
      </c>
      <c r="E31" s="88" t="s">
        <v>133</v>
      </c>
      <c r="F31" s="84">
        <v>292100</v>
      </c>
      <c r="G31" s="84">
        <v>111000</v>
      </c>
    </row>
    <row r="32" spans="1:8" ht="40.450000000000003" customHeight="1">
      <c r="A32" s="88">
        <v>4</v>
      </c>
      <c r="B32" s="89" t="s">
        <v>138</v>
      </c>
      <c r="C32" s="91" t="s">
        <v>139</v>
      </c>
      <c r="D32" s="90" t="s">
        <v>40</v>
      </c>
      <c r="E32" s="90" t="s">
        <v>133</v>
      </c>
      <c r="F32" s="84">
        <v>23400</v>
      </c>
      <c r="G32" s="84">
        <v>37000</v>
      </c>
    </row>
    <row r="33" spans="1:7" ht="21" customHeight="1">
      <c r="A33" s="88">
        <v>5</v>
      </c>
      <c r="B33" s="89" t="s">
        <v>140</v>
      </c>
      <c r="C33" s="88">
        <v>1</v>
      </c>
      <c r="D33" s="88" t="s">
        <v>30</v>
      </c>
      <c r="E33" s="88" t="s">
        <v>133</v>
      </c>
      <c r="F33" s="84">
        <v>63000</v>
      </c>
      <c r="G33" s="84">
        <v>63000</v>
      </c>
    </row>
    <row r="34" spans="1:7" ht="35.549999999999997" customHeight="1">
      <c r="A34" s="87">
        <v>6</v>
      </c>
      <c r="B34" s="86" t="s">
        <v>141</v>
      </c>
      <c r="C34" s="85">
        <v>1</v>
      </c>
      <c r="D34" s="85" t="s">
        <v>30</v>
      </c>
      <c r="E34" s="85" t="s">
        <v>133</v>
      </c>
      <c r="F34" s="84">
        <v>82000</v>
      </c>
      <c r="G34" s="83">
        <v>82000</v>
      </c>
    </row>
    <row r="35" spans="1:7" ht="15.75" customHeight="1">
      <c r="A35" s="82" t="s">
        <v>89</v>
      </c>
      <c r="B35" s="81"/>
      <c r="C35" s="80"/>
      <c r="D35" s="80"/>
      <c r="E35" s="80"/>
      <c r="F35" s="79"/>
      <c r="G35" s="78">
        <f>SUM(G8,G13,G17,G20,G27,G28)</f>
        <v>11297750</v>
      </c>
    </row>
    <row r="36" spans="1:7" ht="15.75" customHeight="1">
      <c r="G36" s="77"/>
    </row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s="76" customFormat="1" ht="15.75" customHeight="1"/>
    <row r="50" s="76" customFormat="1" ht="15.75" customHeight="1"/>
    <row r="51" s="76" customFormat="1" ht="15.75" customHeight="1"/>
    <row r="52" s="76" customFormat="1" ht="15.75" customHeight="1"/>
    <row r="53" s="76" customFormat="1" ht="15.75" customHeight="1"/>
    <row r="54" s="76" customFormat="1" ht="15.75" customHeight="1"/>
    <row r="55" s="76" customFormat="1" ht="15.75" customHeight="1"/>
    <row r="56" s="76" customFormat="1" ht="15.75" customHeight="1"/>
    <row r="57" s="76" customFormat="1" ht="15.75" customHeight="1"/>
    <row r="58" s="76" customFormat="1" ht="15.75" customHeight="1"/>
    <row r="59" s="76" customFormat="1" ht="15.75" customHeight="1"/>
    <row r="60" s="76" customFormat="1" ht="15.75" customHeight="1"/>
    <row r="61" s="76" customFormat="1" ht="15.75" customHeight="1"/>
    <row r="62" s="76" customFormat="1" ht="15.75" customHeight="1"/>
    <row r="63" s="76" customFormat="1" ht="15.75" customHeight="1"/>
    <row r="64" s="76" customFormat="1" ht="15.75" customHeight="1"/>
    <row r="65" s="76" customFormat="1" ht="15.75" customHeight="1"/>
    <row r="66" s="76" customFormat="1" ht="15.75" customHeight="1"/>
    <row r="67" s="76" customFormat="1" ht="15.75" customHeight="1"/>
    <row r="68" s="76" customFormat="1" ht="15.75" customHeight="1"/>
    <row r="69" s="76" customFormat="1" ht="15.75" customHeight="1"/>
    <row r="70" s="76" customFormat="1" ht="15.75" customHeight="1"/>
    <row r="71" s="76" customFormat="1" ht="15.75" customHeight="1"/>
    <row r="72" s="76" customFormat="1" ht="15.75" customHeight="1"/>
    <row r="73" s="76" customFormat="1" ht="15.75" customHeight="1"/>
    <row r="74" s="76" customFormat="1" ht="15.75" customHeight="1"/>
    <row r="75" s="76" customFormat="1" ht="15.75" customHeight="1"/>
    <row r="76" s="76" customFormat="1" ht="15.75" customHeight="1"/>
    <row r="77" s="76" customFormat="1" ht="15.75" customHeight="1"/>
    <row r="78" s="76" customFormat="1" ht="15.75" customHeight="1"/>
    <row r="79" s="76" customFormat="1" ht="15.75" customHeight="1"/>
    <row r="80" s="76" customFormat="1" ht="15.75" customHeight="1"/>
    <row r="81" s="76" customFormat="1" ht="15.75" customHeight="1"/>
  </sheetData>
  <mergeCells count="5">
    <mergeCell ref="B35:F35"/>
    <mergeCell ref="A2:B2"/>
    <mergeCell ref="A4:E4"/>
    <mergeCell ref="E6:G6"/>
    <mergeCell ref="C7:D7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56DB-8060-4C10-8185-B291D567CD2A}">
  <dimension ref="A1:M82"/>
  <sheetViews>
    <sheetView zoomScaleNormal="70" workbookViewId="0">
      <selection activeCell="B15" sqref="B15"/>
    </sheetView>
  </sheetViews>
  <sheetFormatPr defaultColWidth="14.46484375" defaultRowHeight="15" customHeight="1"/>
  <cols>
    <col min="1" max="1" width="9.796875" style="76" customWidth="1"/>
    <col min="2" max="2" width="47.46484375" style="76" customWidth="1"/>
    <col min="3" max="3" width="6.19921875" style="76" customWidth="1"/>
    <col min="4" max="4" width="5.46484375" style="76" customWidth="1"/>
    <col min="5" max="5" width="32.19921875" style="76" bestFit="1" customWidth="1"/>
    <col min="6" max="6" width="19" style="76" customWidth="1"/>
    <col min="7" max="7" width="19.46484375" style="76" customWidth="1"/>
    <col min="8" max="11" width="8.796875" style="76" customWidth="1"/>
    <col min="12" max="12" width="20.46484375" style="76" customWidth="1"/>
    <col min="13" max="13" width="14.46484375" style="76"/>
    <col min="14" max="14" width="14.46484375" style="76" customWidth="1"/>
    <col min="15" max="16384" width="14.46484375" style="76"/>
  </cols>
  <sheetData>
    <row r="1" spans="1:13" ht="14.25">
      <c r="A1" s="164"/>
      <c r="B1" s="164"/>
      <c r="C1" s="164"/>
      <c r="D1" s="164"/>
      <c r="E1" s="164"/>
      <c r="F1" s="164"/>
      <c r="G1" s="164"/>
    </row>
    <row r="2" spans="1:13" ht="18">
      <c r="A2" s="132" t="s">
        <v>142</v>
      </c>
      <c r="B2" s="129"/>
      <c r="C2" s="125"/>
      <c r="D2" s="125"/>
      <c r="E2" s="125"/>
      <c r="F2" s="127"/>
      <c r="G2" s="127"/>
    </row>
    <row r="3" spans="1:13" ht="15" customHeight="1">
      <c r="A3" s="126" t="s">
        <v>1</v>
      </c>
      <c r="B3" s="131"/>
      <c r="C3" s="127"/>
      <c r="D3" s="127"/>
      <c r="E3" s="127"/>
      <c r="F3" s="127"/>
      <c r="G3" s="127"/>
    </row>
    <row r="4" spans="1:13" ht="15" customHeight="1">
      <c r="A4" s="130" t="s">
        <v>2</v>
      </c>
      <c r="B4" s="129"/>
      <c r="C4" s="129"/>
      <c r="D4" s="129"/>
      <c r="E4" s="129"/>
      <c r="F4" s="127"/>
      <c r="G4" s="127"/>
    </row>
    <row r="5" spans="1:13" ht="14.25">
      <c r="A5" s="128"/>
      <c r="B5" s="128"/>
      <c r="C5" s="128"/>
      <c r="D5" s="128"/>
      <c r="E5" s="128"/>
      <c r="F5" s="127"/>
      <c r="G5" s="127"/>
    </row>
    <row r="6" spans="1:13" ht="16.149999999999999" thickBot="1">
      <c r="A6" s="127"/>
      <c r="B6" s="126"/>
      <c r="C6" s="125"/>
      <c r="D6" s="125"/>
      <c r="E6" s="163" t="s">
        <v>155</v>
      </c>
      <c r="F6" s="129"/>
      <c r="G6" s="162"/>
    </row>
    <row r="7" spans="1:13" ht="14.25">
      <c r="A7" s="161" t="s">
        <v>3</v>
      </c>
      <c r="B7" s="160" t="s">
        <v>4</v>
      </c>
      <c r="C7" s="159" t="s">
        <v>6</v>
      </c>
      <c r="D7" s="158"/>
      <c r="E7" s="157" t="s">
        <v>7</v>
      </c>
      <c r="F7" s="156" t="s">
        <v>116</v>
      </c>
      <c r="G7" s="155" t="s">
        <v>117</v>
      </c>
    </row>
    <row r="8" spans="1:13" ht="14.25">
      <c r="A8" s="153" t="s">
        <v>10</v>
      </c>
      <c r="B8" s="154" t="s">
        <v>11</v>
      </c>
      <c r="C8" s="153">
        <v>1</v>
      </c>
      <c r="D8" s="153" t="s">
        <v>13</v>
      </c>
      <c r="E8" s="153"/>
      <c r="F8" s="152"/>
      <c r="G8" s="152">
        <f>SUM(G9:G12)</f>
        <v>3300000</v>
      </c>
    </row>
    <row r="9" spans="1:13" ht="14.25">
      <c r="A9" s="92">
        <v>1</v>
      </c>
      <c r="B9" s="93" t="s">
        <v>14</v>
      </c>
      <c r="C9" s="92">
        <v>11000</v>
      </c>
      <c r="D9" s="92" t="s">
        <v>15</v>
      </c>
      <c r="E9" s="92"/>
      <c r="F9" s="107">
        <v>73</v>
      </c>
      <c r="G9" s="107">
        <f>C9*F9</f>
        <v>803000</v>
      </c>
    </row>
    <row r="10" spans="1:13" ht="14.25">
      <c r="A10" s="92">
        <v>2</v>
      </c>
      <c r="B10" s="93" t="s">
        <v>17</v>
      </c>
      <c r="C10" s="92">
        <v>11000</v>
      </c>
      <c r="D10" s="92" t="s">
        <v>15</v>
      </c>
      <c r="E10" s="92"/>
      <c r="F10" s="107">
        <v>73</v>
      </c>
      <c r="G10" s="107">
        <f>C10*F10</f>
        <v>803000</v>
      </c>
    </row>
    <row r="11" spans="1:13" ht="14.25">
      <c r="A11" s="92">
        <v>3</v>
      </c>
      <c r="B11" s="93" t="s">
        <v>18</v>
      </c>
      <c r="C11" s="92">
        <v>1</v>
      </c>
      <c r="D11" s="92" t="s">
        <v>13</v>
      </c>
      <c r="E11" s="92"/>
      <c r="F11" s="107">
        <v>2300000</v>
      </c>
      <c r="G11" s="107">
        <f>C11*F11</f>
        <v>2300000</v>
      </c>
    </row>
    <row r="12" spans="1:13" ht="14.25">
      <c r="A12" s="92"/>
      <c r="B12" s="117" t="s">
        <v>19</v>
      </c>
      <c r="C12" s="116">
        <v>1</v>
      </c>
      <c r="D12" s="116"/>
      <c r="E12" s="116"/>
      <c r="F12" s="115">
        <v>-606000</v>
      </c>
      <c r="G12" s="115">
        <f>F12*C12</f>
        <v>-606000</v>
      </c>
    </row>
    <row r="13" spans="1:13" ht="14.25">
      <c r="A13" s="147" t="s">
        <v>20</v>
      </c>
      <c r="B13" s="150" t="s">
        <v>118</v>
      </c>
      <c r="C13" s="145">
        <v>1</v>
      </c>
      <c r="D13" s="145" t="s">
        <v>71</v>
      </c>
      <c r="E13" s="145"/>
      <c r="F13" s="144"/>
      <c r="G13" s="143">
        <f>SUM(G14:G15)</f>
        <v>1150000</v>
      </c>
    </row>
    <row r="14" spans="1:13" ht="14.25">
      <c r="A14" s="92">
        <v>1</v>
      </c>
      <c r="B14" s="94" t="s">
        <v>119</v>
      </c>
      <c r="C14" s="92">
        <v>1</v>
      </c>
      <c r="D14" s="92" t="s">
        <v>120</v>
      </c>
      <c r="E14" s="92" t="s">
        <v>16</v>
      </c>
      <c r="F14" s="107">
        <v>250000</v>
      </c>
      <c r="G14" s="107">
        <f>C14*F14</f>
        <v>250000</v>
      </c>
      <c r="M14" s="151"/>
    </row>
    <row r="15" spans="1:13" ht="14.25">
      <c r="A15" s="92">
        <v>2</v>
      </c>
      <c r="B15" s="93" t="s">
        <v>121</v>
      </c>
      <c r="C15" s="92">
        <v>1</v>
      </c>
      <c r="D15" s="92" t="s">
        <v>71</v>
      </c>
      <c r="E15" s="92" t="s">
        <v>16</v>
      </c>
      <c r="F15" s="107">
        <v>900000</v>
      </c>
      <c r="G15" s="107">
        <f>C15*F15</f>
        <v>900000</v>
      </c>
      <c r="M15" s="151"/>
    </row>
    <row r="16" spans="1:13" ht="14.25">
      <c r="A16" s="92"/>
      <c r="B16" s="93"/>
      <c r="C16" s="92" t="s">
        <v>144</v>
      </c>
      <c r="D16" s="92"/>
      <c r="E16" s="92"/>
      <c r="F16" s="107"/>
      <c r="G16" s="107"/>
      <c r="M16" s="151"/>
    </row>
    <row r="17" spans="1:7" ht="14.25">
      <c r="A17" s="147" t="s">
        <v>47</v>
      </c>
      <c r="B17" s="150" t="s">
        <v>61</v>
      </c>
      <c r="C17" s="145" t="s">
        <v>144</v>
      </c>
      <c r="D17" s="145"/>
      <c r="E17" s="145"/>
      <c r="F17" s="144"/>
      <c r="G17" s="143">
        <f>SUM(G18)</f>
        <v>1700000</v>
      </c>
    </row>
    <row r="18" spans="1:7" ht="14.25">
      <c r="A18" s="92">
        <v>1</v>
      </c>
      <c r="B18" s="93" t="s">
        <v>145</v>
      </c>
      <c r="C18" s="92">
        <v>1</v>
      </c>
      <c r="D18" s="92" t="s">
        <v>71</v>
      </c>
      <c r="E18" s="92" t="s">
        <v>123</v>
      </c>
      <c r="F18" s="107">
        <v>1700000</v>
      </c>
      <c r="G18" s="107">
        <f>C18*F18</f>
        <v>1700000</v>
      </c>
    </row>
    <row r="19" spans="1:7" ht="15.75" customHeight="1">
      <c r="A19" s="149"/>
      <c r="B19" s="148"/>
      <c r="C19" s="92" t="s">
        <v>144</v>
      </c>
      <c r="D19" s="92"/>
      <c r="E19" s="92"/>
      <c r="F19" s="107"/>
      <c r="G19" s="107"/>
    </row>
    <row r="20" spans="1:7" ht="15.75" customHeight="1">
      <c r="A20" s="147" t="s">
        <v>54</v>
      </c>
      <c r="B20" s="146" t="s">
        <v>73</v>
      </c>
      <c r="C20" s="145" t="s">
        <v>144</v>
      </c>
      <c r="D20" s="145"/>
      <c r="E20" s="145"/>
      <c r="F20" s="144"/>
      <c r="G20" s="143">
        <f>SUM(G21:G25)</f>
        <v>4875000</v>
      </c>
    </row>
    <row r="21" spans="1:7" ht="15.75" customHeight="1">
      <c r="A21" s="92">
        <v>1</v>
      </c>
      <c r="B21" s="93" t="s">
        <v>146</v>
      </c>
      <c r="C21" s="92">
        <v>15</v>
      </c>
      <c r="D21" s="92" t="s">
        <v>125</v>
      </c>
      <c r="E21" s="142" t="s">
        <v>76</v>
      </c>
      <c r="F21" s="107">
        <v>175000</v>
      </c>
      <c r="G21" s="107">
        <f>C21*F21</f>
        <v>2625000</v>
      </c>
    </row>
    <row r="22" spans="1:7" ht="15.75" customHeight="1">
      <c r="A22" s="92">
        <v>2</v>
      </c>
      <c r="B22" s="93" t="s">
        <v>147</v>
      </c>
      <c r="C22" s="92">
        <v>5</v>
      </c>
      <c r="D22" s="92" t="s">
        <v>125</v>
      </c>
      <c r="E22" s="142" t="s">
        <v>76</v>
      </c>
      <c r="F22" s="107">
        <v>55000</v>
      </c>
      <c r="G22" s="107">
        <f>C22*F22</f>
        <v>275000</v>
      </c>
    </row>
    <row r="23" spans="1:7" ht="15.75" customHeight="1">
      <c r="A23" s="92">
        <v>3</v>
      </c>
      <c r="B23" s="91" t="s">
        <v>148</v>
      </c>
      <c r="C23" s="88">
        <v>15</v>
      </c>
      <c r="D23" s="88" t="s">
        <v>125</v>
      </c>
      <c r="E23" s="106" t="s">
        <v>76</v>
      </c>
      <c r="F23" s="84">
        <v>35000</v>
      </c>
      <c r="G23" s="107">
        <f>C23*F23</f>
        <v>525000</v>
      </c>
    </row>
    <row r="24" spans="1:7" ht="15.75" customHeight="1">
      <c r="A24" s="92">
        <v>4</v>
      </c>
      <c r="B24" s="93" t="s">
        <v>65</v>
      </c>
      <c r="C24" s="88">
        <v>1</v>
      </c>
      <c r="D24" s="88" t="s">
        <v>53</v>
      </c>
      <c r="E24" s="88"/>
      <c r="F24" s="84">
        <v>1000000</v>
      </c>
      <c r="G24" s="107">
        <f>C24*F24</f>
        <v>1000000</v>
      </c>
    </row>
    <row r="25" spans="1:7" ht="15.75" customHeight="1">
      <c r="A25" s="92">
        <v>5</v>
      </c>
      <c r="B25" s="93" t="s">
        <v>128</v>
      </c>
      <c r="C25" s="92">
        <v>15</v>
      </c>
      <c r="D25" s="92" t="s">
        <v>125</v>
      </c>
      <c r="E25" s="92" t="s">
        <v>129</v>
      </c>
      <c r="F25" s="107">
        <v>30000</v>
      </c>
      <c r="G25" s="107">
        <f>C25*F25</f>
        <v>450000</v>
      </c>
    </row>
    <row r="26" spans="1:7" ht="15.75" customHeight="1">
      <c r="A26" s="127"/>
      <c r="B26" s="141"/>
      <c r="C26" s="140" t="s">
        <v>144</v>
      </c>
      <c r="D26" s="140"/>
      <c r="E26" s="140"/>
      <c r="F26" s="139"/>
      <c r="G26" s="139"/>
    </row>
    <row r="27" spans="1:7" ht="15.75" customHeight="1">
      <c r="A27" s="138" t="s">
        <v>60</v>
      </c>
      <c r="B27" s="137" t="s">
        <v>88</v>
      </c>
      <c r="C27" s="136">
        <v>1</v>
      </c>
      <c r="D27" s="136" t="s">
        <v>13</v>
      </c>
      <c r="E27" s="136"/>
      <c r="F27" s="135">
        <v>500000</v>
      </c>
      <c r="G27" s="134">
        <f>C27*F27</f>
        <v>500000</v>
      </c>
    </row>
    <row r="28" spans="1:7" ht="15.75" customHeight="1">
      <c r="A28" s="100" t="s">
        <v>67</v>
      </c>
      <c r="B28" s="99" t="s">
        <v>130</v>
      </c>
      <c r="C28" s="98"/>
      <c r="D28" s="98"/>
      <c r="E28" s="97"/>
      <c r="F28" s="96"/>
      <c r="G28" s="95">
        <f>SUM(G29:G34)</f>
        <v>472750</v>
      </c>
    </row>
    <row r="29" spans="1:7" ht="24.7" customHeight="1">
      <c r="A29" s="88">
        <v>1</v>
      </c>
      <c r="B29" s="94" t="s">
        <v>131</v>
      </c>
      <c r="C29" s="93" t="s">
        <v>132</v>
      </c>
      <c r="D29" s="93" t="s">
        <v>30</v>
      </c>
      <c r="E29" s="92" t="s">
        <v>133</v>
      </c>
      <c r="F29" s="84">
        <v>69500</v>
      </c>
      <c r="G29" s="84">
        <v>43750</v>
      </c>
    </row>
    <row r="30" spans="1:7" ht="25.45" customHeight="1">
      <c r="A30" s="88">
        <v>2</v>
      </c>
      <c r="B30" s="89" t="s">
        <v>134</v>
      </c>
      <c r="C30" s="91" t="s">
        <v>135</v>
      </c>
      <c r="D30" s="91" t="s">
        <v>26</v>
      </c>
      <c r="E30" s="88" t="s">
        <v>133</v>
      </c>
      <c r="F30" s="84">
        <v>1700000</v>
      </c>
      <c r="G30" s="84">
        <v>136000</v>
      </c>
    </row>
    <row r="31" spans="1:7" ht="27.7" customHeight="1">
      <c r="A31" s="88">
        <v>3</v>
      </c>
      <c r="B31" s="89" t="s">
        <v>136</v>
      </c>
      <c r="C31" s="91" t="s">
        <v>137</v>
      </c>
      <c r="D31" s="91" t="s">
        <v>30</v>
      </c>
      <c r="E31" s="88" t="s">
        <v>133</v>
      </c>
      <c r="F31" s="84">
        <v>292100</v>
      </c>
      <c r="G31" s="84">
        <v>111000</v>
      </c>
    </row>
    <row r="32" spans="1:7" ht="26.55" customHeight="1">
      <c r="A32" s="88">
        <v>4</v>
      </c>
      <c r="B32" s="89" t="s">
        <v>138</v>
      </c>
      <c r="C32" s="91" t="s">
        <v>139</v>
      </c>
      <c r="D32" s="133" t="s">
        <v>40</v>
      </c>
      <c r="E32" s="90" t="s">
        <v>133</v>
      </c>
      <c r="F32" s="84">
        <v>23400</v>
      </c>
      <c r="G32" s="84">
        <v>37000</v>
      </c>
    </row>
    <row r="33" spans="1:7" ht="32.549999999999997" customHeight="1">
      <c r="A33" s="88">
        <v>5</v>
      </c>
      <c r="B33" s="89" t="s">
        <v>140</v>
      </c>
      <c r="C33" s="88">
        <v>1</v>
      </c>
      <c r="D33" s="91" t="s">
        <v>30</v>
      </c>
      <c r="E33" s="88" t="s">
        <v>133</v>
      </c>
      <c r="F33" s="84">
        <v>63000</v>
      </c>
      <c r="G33" s="84">
        <v>63000</v>
      </c>
    </row>
    <row r="34" spans="1:7" ht="36" customHeight="1">
      <c r="A34" s="88">
        <v>6</v>
      </c>
      <c r="B34" s="89" t="s">
        <v>141</v>
      </c>
      <c r="C34" s="88">
        <v>1</v>
      </c>
      <c r="D34" s="91" t="s">
        <v>30</v>
      </c>
      <c r="E34" s="88" t="s">
        <v>133</v>
      </c>
      <c r="F34" s="84">
        <v>82000</v>
      </c>
      <c r="G34" s="84">
        <v>82000</v>
      </c>
    </row>
    <row r="35" spans="1:7" ht="15.75" customHeight="1">
      <c r="A35" s="82" t="s">
        <v>89</v>
      </c>
      <c r="B35" s="81"/>
      <c r="C35" s="80"/>
      <c r="D35" s="80"/>
      <c r="E35" s="80"/>
      <c r="F35" s="79"/>
      <c r="G35" s="78">
        <f>SUM(G8,G13,G17,G20,G27,G28)</f>
        <v>11997750</v>
      </c>
    </row>
    <row r="36" spans="1:7" ht="15.75" customHeight="1">
      <c r="G36" s="77">
        <f>12603750+G12-G35</f>
        <v>0</v>
      </c>
    </row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s="76" customFormat="1" ht="15.75" customHeight="1"/>
    <row r="50" s="76" customFormat="1" ht="15.75" customHeight="1"/>
    <row r="51" s="76" customFormat="1" ht="15.75" customHeight="1"/>
    <row r="52" s="76" customFormat="1" ht="15.75" customHeight="1"/>
    <row r="53" s="76" customFormat="1" ht="15.75" customHeight="1"/>
    <row r="54" s="76" customFormat="1" ht="15.75" customHeight="1"/>
    <row r="55" s="76" customFormat="1" ht="15.75" customHeight="1"/>
    <row r="56" s="76" customFormat="1" ht="15.75" customHeight="1"/>
    <row r="57" s="76" customFormat="1" ht="15.75" customHeight="1"/>
    <row r="58" s="76" customFormat="1" ht="15.75" customHeight="1"/>
    <row r="59" s="76" customFormat="1" ht="15.75" customHeight="1"/>
    <row r="60" s="76" customFormat="1" ht="15.75" customHeight="1"/>
    <row r="61" s="76" customFormat="1" ht="15.75" customHeight="1"/>
    <row r="62" s="76" customFormat="1" ht="15.75" customHeight="1"/>
    <row r="63" s="76" customFormat="1" ht="15.75" customHeight="1"/>
    <row r="64" s="76" customFormat="1" ht="15.75" customHeight="1"/>
    <row r="65" s="76" customFormat="1" ht="15.75" customHeight="1"/>
    <row r="66" s="76" customFormat="1" ht="15.75" customHeight="1"/>
    <row r="67" s="76" customFormat="1" ht="15.75" customHeight="1"/>
    <row r="68" s="76" customFormat="1" ht="15.75" customHeight="1"/>
    <row r="69" s="76" customFormat="1" ht="15.75" customHeight="1"/>
    <row r="70" s="76" customFormat="1" ht="15.75" customHeight="1"/>
    <row r="71" s="76" customFormat="1" ht="15.75" customHeight="1"/>
    <row r="72" s="76" customFormat="1" ht="15.75" customHeight="1"/>
    <row r="73" s="76" customFormat="1" ht="15.75" customHeight="1"/>
    <row r="74" s="76" customFormat="1" ht="15.75" customHeight="1"/>
    <row r="75" s="76" customFormat="1" ht="15.75" customHeight="1"/>
    <row r="76" s="76" customFormat="1" ht="15.75" customHeight="1"/>
    <row r="77" s="76" customFormat="1" ht="15.75" customHeight="1"/>
    <row r="78" s="76" customFormat="1" ht="15.75" customHeight="1"/>
    <row r="79" s="76" customFormat="1" ht="15.75" customHeight="1"/>
    <row r="80" s="76" customFormat="1" ht="15.75" customHeight="1"/>
    <row r="81" s="76" customFormat="1" ht="15.75" customHeight="1"/>
    <row r="82" s="76" customFormat="1" ht="15.75" customHeight="1"/>
  </sheetData>
  <mergeCells count="5">
    <mergeCell ref="A2:B2"/>
    <mergeCell ref="A4:E4"/>
    <mergeCell ref="E6:G6"/>
    <mergeCell ref="C7:D7"/>
    <mergeCell ref="B35:F35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1584C-D67F-48A0-8A19-50AD8D15C379}">
  <sheetPr>
    <pageSetUpPr fitToPage="1"/>
  </sheetPr>
  <dimension ref="A1:H86"/>
  <sheetViews>
    <sheetView topLeftCell="A26" zoomScale="70" zoomScaleNormal="70" workbookViewId="0">
      <selection activeCell="G40" sqref="G40"/>
    </sheetView>
  </sheetViews>
  <sheetFormatPr defaultColWidth="14.46484375" defaultRowHeight="15" customHeight="1"/>
  <cols>
    <col min="1" max="1" width="8.796875" style="76" customWidth="1"/>
    <col min="2" max="2" width="46.796875" style="76" bestFit="1" customWidth="1"/>
    <col min="3" max="3" width="8" style="76" customWidth="1"/>
    <col min="4" max="4" width="9.796875" style="76" customWidth="1"/>
    <col min="5" max="5" width="34.46484375" style="76" bestFit="1" customWidth="1"/>
    <col min="6" max="6" width="20.53125" style="76" customWidth="1"/>
    <col min="7" max="7" width="19.796875" style="76" customWidth="1"/>
    <col min="8" max="8" width="8.796875" style="76" customWidth="1"/>
    <col min="9" max="16384" width="14.46484375" style="76"/>
  </cols>
  <sheetData>
    <row r="1" spans="1:7" s="76" customFormat="1" ht="14.25">
      <c r="A1" s="164"/>
      <c r="B1" s="164"/>
      <c r="C1" s="164"/>
      <c r="D1" s="164"/>
      <c r="E1" s="164"/>
      <c r="F1" s="164"/>
      <c r="G1" s="164"/>
    </row>
    <row r="2" spans="1:7" s="76" customFormat="1" ht="18">
      <c r="A2" s="132" t="s">
        <v>149</v>
      </c>
      <c r="B2" s="129"/>
      <c r="C2" s="125"/>
      <c r="D2" s="125"/>
      <c r="E2" s="125"/>
      <c r="F2" s="127"/>
      <c r="G2" s="127"/>
    </row>
    <row r="3" spans="1:7" s="76" customFormat="1" ht="15" customHeight="1">
      <c r="A3" s="126" t="s">
        <v>1</v>
      </c>
      <c r="B3" s="131"/>
      <c r="C3" s="127"/>
      <c r="D3" s="127"/>
      <c r="E3" s="127"/>
      <c r="F3" s="127"/>
      <c r="G3" s="127"/>
    </row>
    <row r="4" spans="1:7" s="76" customFormat="1" ht="15" customHeight="1">
      <c r="A4" s="130" t="s">
        <v>2</v>
      </c>
      <c r="B4" s="129"/>
      <c r="C4" s="129"/>
      <c r="D4" s="129"/>
      <c r="E4" s="129"/>
      <c r="F4" s="127"/>
      <c r="G4" s="127"/>
    </row>
    <row r="5" spans="1:7" s="76" customFormat="1" ht="14.25">
      <c r="A5" s="128"/>
      <c r="B5" s="128"/>
      <c r="C5" s="128"/>
      <c r="D5" s="128"/>
      <c r="E5" s="128"/>
      <c r="F5" s="127"/>
      <c r="G5" s="127"/>
    </row>
    <row r="6" spans="1:7" s="76" customFormat="1" ht="16.149999999999999" thickBot="1">
      <c r="A6" s="127"/>
      <c r="B6" s="126"/>
      <c r="C6" s="125"/>
      <c r="D6" s="125"/>
      <c r="E6" s="163" t="s">
        <v>156</v>
      </c>
      <c r="F6" s="129"/>
      <c r="G6" s="162"/>
    </row>
    <row r="7" spans="1:7" s="76" customFormat="1" ht="14.25">
      <c r="A7" s="161" t="s">
        <v>3</v>
      </c>
      <c r="B7" s="160" t="s">
        <v>4</v>
      </c>
      <c r="C7" s="159" t="s">
        <v>6</v>
      </c>
      <c r="D7" s="158"/>
      <c r="E7" s="157" t="s">
        <v>7</v>
      </c>
      <c r="F7" s="156" t="s">
        <v>116</v>
      </c>
      <c r="G7" s="155" t="s">
        <v>117</v>
      </c>
    </row>
    <row r="8" spans="1:7" s="76" customFormat="1" ht="14.25">
      <c r="A8" s="153" t="s">
        <v>10</v>
      </c>
      <c r="B8" s="154" t="s">
        <v>11</v>
      </c>
      <c r="C8" s="153">
        <v>1</v>
      </c>
      <c r="D8" s="153" t="s">
        <v>13</v>
      </c>
      <c r="E8" s="153"/>
      <c r="F8" s="152"/>
      <c r="G8" s="152">
        <f>SUM(G9:G12)</f>
        <v>4000000</v>
      </c>
    </row>
    <row r="9" spans="1:7" s="76" customFormat="1" ht="14.25">
      <c r="A9" s="92">
        <v>1</v>
      </c>
      <c r="B9" s="93" t="s">
        <v>14</v>
      </c>
      <c r="C9" s="92">
        <v>13200</v>
      </c>
      <c r="D9" s="92" t="s">
        <v>15</v>
      </c>
      <c r="E9" s="92"/>
      <c r="F9" s="107">
        <v>73</v>
      </c>
      <c r="G9" s="107">
        <f>F9*C9</f>
        <v>963600</v>
      </c>
    </row>
    <row r="10" spans="1:7" s="76" customFormat="1" ht="14.25">
      <c r="A10" s="92">
        <v>2</v>
      </c>
      <c r="B10" s="93" t="s">
        <v>17</v>
      </c>
      <c r="C10" s="92">
        <v>13200</v>
      </c>
      <c r="D10" s="92" t="s">
        <v>15</v>
      </c>
      <c r="E10" s="92"/>
      <c r="F10" s="107">
        <v>73</v>
      </c>
      <c r="G10" s="107">
        <f>F10*C10</f>
        <v>963600</v>
      </c>
    </row>
    <row r="11" spans="1:7" s="76" customFormat="1" ht="14.25">
      <c r="A11" s="92">
        <v>3</v>
      </c>
      <c r="B11" s="93" t="s">
        <v>18</v>
      </c>
      <c r="C11" s="92">
        <v>1</v>
      </c>
      <c r="D11" s="92" t="s">
        <v>13</v>
      </c>
      <c r="E11" s="92"/>
      <c r="F11" s="107">
        <v>2500000</v>
      </c>
      <c r="G11" s="107">
        <f>F11*C11</f>
        <v>2500000</v>
      </c>
    </row>
    <row r="12" spans="1:7" s="76" customFormat="1" ht="14.25">
      <c r="A12" s="92"/>
      <c r="B12" s="117" t="s">
        <v>19</v>
      </c>
      <c r="C12" s="116">
        <v>1</v>
      </c>
      <c r="D12" s="116"/>
      <c r="E12" s="116"/>
      <c r="F12" s="115">
        <v>-427200</v>
      </c>
      <c r="G12" s="115">
        <f>F12*C12</f>
        <v>-427200</v>
      </c>
    </row>
    <row r="13" spans="1:7" s="76" customFormat="1" ht="14.25">
      <c r="A13" s="147" t="s">
        <v>20</v>
      </c>
      <c r="B13" s="150" t="s">
        <v>118</v>
      </c>
      <c r="C13" s="145">
        <v>1</v>
      </c>
      <c r="D13" s="145" t="s">
        <v>71</v>
      </c>
      <c r="E13" s="145"/>
      <c r="F13" s="144"/>
      <c r="G13" s="143">
        <f>SUM(G14:G15)</f>
        <v>1150000</v>
      </c>
    </row>
    <row r="14" spans="1:7" s="76" customFormat="1" ht="14.25">
      <c r="A14" s="92">
        <v>1</v>
      </c>
      <c r="B14" s="94" t="s">
        <v>119</v>
      </c>
      <c r="C14" s="92">
        <v>1</v>
      </c>
      <c r="D14" s="92" t="s">
        <v>120</v>
      </c>
      <c r="E14" s="92" t="s">
        <v>16</v>
      </c>
      <c r="F14" s="107">
        <v>250000</v>
      </c>
      <c r="G14" s="107">
        <f>F14*C14</f>
        <v>250000</v>
      </c>
    </row>
    <row r="15" spans="1:7" s="76" customFormat="1" ht="14.25">
      <c r="A15" s="92">
        <v>2</v>
      </c>
      <c r="B15" s="93" t="s">
        <v>121</v>
      </c>
      <c r="C15" s="92">
        <v>1</v>
      </c>
      <c r="D15" s="92" t="s">
        <v>71</v>
      </c>
      <c r="E15" s="92" t="s">
        <v>16</v>
      </c>
      <c r="F15" s="107">
        <v>900000</v>
      </c>
      <c r="G15" s="107">
        <f>F15*C15</f>
        <v>900000</v>
      </c>
    </row>
    <row r="16" spans="1:7" s="76" customFormat="1" ht="14.25">
      <c r="A16" s="92"/>
      <c r="B16" s="93"/>
      <c r="C16" s="92" t="s">
        <v>144</v>
      </c>
      <c r="D16" s="92"/>
      <c r="E16" s="92"/>
      <c r="F16" s="107"/>
      <c r="G16" s="107"/>
    </row>
    <row r="17" spans="1:8" s="76" customFormat="1" ht="14.25">
      <c r="A17" s="147" t="s">
        <v>47</v>
      </c>
      <c r="B17" s="150" t="s">
        <v>61</v>
      </c>
      <c r="C17" s="145" t="s">
        <v>144</v>
      </c>
      <c r="D17" s="145"/>
      <c r="E17" s="145"/>
      <c r="F17" s="144"/>
      <c r="G17" s="143">
        <f>SUM(G18)</f>
        <v>2000000</v>
      </c>
    </row>
    <row r="18" spans="1:8" s="76" customFormat="1" ht="14.25">
      <c r="A18" s="92">
        <v>1</v>
      </c>
      <c r="B18" s="93" t="s">
        <v>151</v>
      </c>
      <c r="C18" s="92">
        <v>1</v>
      </c>
      <c r="D18" s="92" t="s">
        <v>71</v>
      </c>
      <c r="E18" s="92" t="s">
        <v>123</v>
      </c>
      <c r="F18" s="107">
        <v>2000000</v>
      </c>
      <c r="G18" s="107">
        <f>F18*C18</f>
        <v>2000000</v>
      </c>
    </row>
    <row r="19" spans="1:8" s="76" customFormat="1" ht="15.75" customHeight="1">
      <c r="A19" s="149"/>
      <c r="B19" s="148"/>
      <c r="C19" s="92" t="s">
        <v>144</v>
      </c>
      <c r="D19" s="92"/>
      <c r="E19" s="92"/>
      <c r="F19" s="107"/>
      <c r="G19" s="107"/>
    </row>
    <row r="20" spans="1:8" s="76" customFormat="1" ht="15.75" customHeight="1">
      <c r="A20" s="147" t="s">
        <v>54</v>
      </c>
      <c r="B20" s="146" t="s">
        <v>73</v>
      </c>
      <c r="C20" s="145" t="s">
        <v>144</v>
      </c>
      <c r="D20" s="145"/>
      <c r="E20" s="145"/>
      <c r="F20" s="144"/>
      <c r="G20" s="143">
        <f>SUM(G21:G25)</f>
        <v>4277500</v>
      </c>
    </row>
    <row r="21" spans="1:8" s="76" customFormat="1" ht="14.25">
      <c r="A21" s="92">
        <v>1</v>
      </c>
      <c r="B21" s="93" t="s">
        <v>152</v>
      </c>
      <c r="C21" s="92">
        <v>15</v>
      </c>
      <c r="D21" s="92" t="s">
        <v>125</v>
      </c>
      <c r="E21" s="142" t="s">
        <v>76</v>
      </c>
      <c r="F21" s="107">
        <v>130000</v>
      </c>
      <c r="G21" s="107">
        <f>F21*C21</f>
        <v>1950000</v>
      </c>
    </row>
    <row r="22" spans="1:8" s="76" customFormat="1" ht="23.55" customHeight="1">
      <c r="A22" s="92">
        <v>2</v>
      </c>
      <c r="B22" s="93" t="s">
        <v>147</v>
      </c>
      <c r="C22" s="92">
        <v>5</v>
      </c>
      <c r="D22" s="92" t="s">
        <v>125</v>
      </c>
      <c r="E22" s="142" t="s">
        <v>76</v>
      </c>
      <c r="F22" s="107">
        <v>61500</v>
      </c>
      <c r="G22" s="107">
        <f>F22*C22</f>
        <v>307500</v>
      </c>
    </row>
    <row r="23" spans="1:8" s="76" customFormat="1" ht="34.450000000000003" customHeight="1">
      <c r="A23" s="92">
        <v>3</v>
      </c>
      <c r="B23" s="91" t="s">
        <v>127</v>
      </c>
      <c r="C23" s="92">
        <v>15</v>
      </c>
      <c r="D23" s="92" t="s">
        <v>125</v>
      </c>
      <c r="E23" s="142" t="s">
        <v>76</v>
      </c>
      <c r="F23" s="84">
        <v>38000</v>
      </c>
      <c r="G23" s="107">
        <f>F23*C23</f>
        <v>570000</v>
      </c>
    </row>
    <row r="24" spans="1:8" s="76" customFormat="1" ht="15.75" customHeight="1">
      <c r="A24" s="92">
        <v>4</v>
      </c>
      <c r="B24" s="91" t="s">
        <v>65</v>
      </c>
      <c r="C24" s="88">
        <v>1</v>
      </c>
      <c r="D24" s="88" t="s">
        <v>53</v>
      </c>
      <c r="E24" s="88"/>
      <c r="F24" s="84">
        <v>1000000</v>
      </c>
      <c r="G24" s="107">
        <f>F24*C24</f>
        <v>1000000</v>
      </c>
    </row>
    <row r="25" spans="1:8" s="76" customFormat="1" ht="15.75" customHeight="1">
      <c r="A25" s="92">
        <v>5</v>
      </c>
      <c r="B25" s="93" t="s">
        <v>128</v>
      </c>
      <c r="C25" s="92">
        <v>15</v>
      </c>
      <c r="D25" s="92" t="s">
        <v>125</v>
      </c>
      <c r="E25" s="92" t="s">
        <v>129</v>
      </c>
      <c r="F25" s="107">
        <v>30000</v>
      </c>
      <c r="G25" s="107">
        <f>F25*C25</f>
        <v>450000</v>
      </c>
    </row>
    <row r="26" spans="1:8" s="76" customFormat="1" ht="15.75" customHeight="1">
      <c r="A26" s="127"/>
      <c r="B26" s="141"/>
      <c r="C26" s="140" t="s">
        <v>144</v>
      </c>
      <c r="D26" s="140"/>
      <c r="E26" s="140"/>
      <c r="F26" s="139"/>
      <c r="G26" s="139"/>
    </row>
    <row r="27" spans="1:8" s="76" customFormat="1" ht="15.75" customHeight="1">
      <c r="A27" s="172" t="s">
        <v>60</v>
      </c>
      <c r="B27" s="171" t="s">
        <v>88</v>
      </c>
      <c r="C27" s="170">
        <v>1</v>
      </c>
      <c r="D27" s="170" t="s">
        <v>13</v>
      </c>
      <c r="E27" s="170"/>
      <c r="F27" s="169">
        <v>500000</v>
      </c>
      <c r="G27" s="168">
        <f>F27*C27</f>
        <v>500000</v>
      </c>
    </row>
    <row r="28" spans="1:8" s="76" customFormat="1" ht="15.75" customHeight="1">
      <c r="A28" s="167"/>
      <c r="B28" s="166"/>
      <c r="C28" s="88"/>
      <c r="D28" s="88"/>
      <c r="E28" s="88"/>
      <c r="F28" s="84"/>
      <c r="G28" s="84"/>
    </row>
    <row r="29" spans="1:8" s="76" customFormat="1" ht="15.75" customHeight="1">
      <c r="A29" s="100" t="s">
        <v>67</v>
      </c>
      <c r="B29" s="99" t="s">
        <v>130</v>
      </c>
      <c r="C29" s="98"/>
      <c r="D29" s="98"/>
      <c r="E29" s="97"/>
      <c r="F29" s="96"/>
      <c r="G29" s="95">
        <f>SUM(G30:G35)</f>
        <v>472750</v>
      </c>
      <c r="H29" s="127"/>
    </row>
    <row r="30" spans="1:8" s="76" customFormat="1" ht="15.75" customHeight="1">
      <c r="A30" s="88">
        <v>1</v>
      </c>
      <c r="B30" s="94" t="s">
        <v>131</v>
      </c>
      <c r="C30" s="92" t="s">
        <v>132</v>
      </c>
      <c r="D30" s="92" t="s">
        <v>30</v>
      </c>
      <c r="E30" s="92" t="s">
        <v>133</v>
      </c>
      <c r="F30" s="84">
        <v>69500</v>
      </c>
      <c r="G30" s="84">
        <v>43750</v>
      </c>
      <c r="H30" s="127"/>
    </row>
    <row r="31" spans="1:8" s="76" customFormat="1" ht="33.700000000000003" customHeight="1">
      <c r="A31" s="88">
        <v>2</v>
      </c>
      <c r="B31" s="89" t="s">
        <v>134</v>
      </c>
      <c r="C31" s="88" t="s">
        <v>135</v>
      </c>
      <c r="D31" s="88" t="s">
        <v>26</v>
      </c>
      <c r="E31" s="88" t="s">
        <v>133</v>
      </c>
      <c r="F31" s="84">
        <v>1700000</v>
      </c>
      <c r="G31" s="84">
        <v>136000</v>
      </c>
      <c r="H31" s="127"/>
    </row>
    <row r="32" spans="1:8" s="76" customFormat="1" ht="46.8" customHeight="1">
      <c r="A32" s="88">
        <v>3</v>
      </c>
      <c r="B32" s="89" t="s">
        <v>136</v>
      </c>
      <c r="C32" s="88" t="s">
        <v>137</v>
      </c>
      <c r="D32" s="88" t="s">
        <v>30</v>
      </c>
      <c r="E32" s="88" t="s">
        <v>133</v>
      </c>
      <c r="F32" s="84">
        <v>292100</v>
      </c>
      <c r="G32" s="84">
        <v>111000</v>
      </c>
    </row>
    <row r="33" spans="1:7" s="76" customFormat="1" ht="43.8" customHeight="1">
      <c r="A33" s="88">
        <v>4</v>
      </c>
      <c r="B33" s="89" t="s">
        <v>138</v>
      </c>
      <c r="C33" s="88" t="s">
        <v>139</v>
      </c>
      <c r="D33" s="90" t="s">
        <v>40</v>
      </c>
      <c r="E33" s="90" t="s">
        <v>133</v>
      </c>
      <c r="F33" s="84">
        <v>23400</v>
      </c>
      <c r="G33" s="84">
        <v>37000</v>
      </c>
    </row>
    <row r="34" spans="1:7" s="76" customFormat="1" ht="27.7" customHeight="1">
      <c r="A34" s="88">
        <v>5</v>
      </c>
      <c r="B34" s="89" t="s">
        <v>140</v>
      </c>
      <c r="C34" s="88">
        <v>1</v>
      </c>
      <c r="D34" s="88" t="s">
        <v>30</v>
      </c>
      <c r="E34" s="88" t="s">
        <v>133</v>
      </c>
      <c r="F34" s="84">
        <v>63000</v>
      </c>
      <c r="G34" s="84">
        <v>63000</v>
      </c>
    </row>
    <row r="35" spans="1:7" s="76" customFormat="1" ht="35.549999999999997" customHeight="1">
      <c r="A35" s="88">
        <v>6</v>
      </c>
      <c r="B35" s="89" t="s">
        <v>141</v>
      </c>
      <c r="C35" s="88">
        <v>1</v>
      </c>
      <c r="D35" s="88" t="s">
        <v>30</v>
      </c>
      <c r="E35" s="88" t="s">
        <v>133</v>
      </c>
      <c r="F35" s="84">
        <v>82000</v>
      </c>
      <c r="G35" s="84">
        <v>82000</v>
      </c>
    </row>
    <row r="36" spans="1:7" s="76" customFormat="1" ht="15.75" customHeight="1">
      <c r="A36" s="82" t="s">
        <v>89</v>
      </c>
      <c r="B36" s="81"/>
      <c r="C36" s="80"/>
      <c r="D36" s="80"/>
      <c r="E36" s="80"/>
      <c r="F36" s="79"/>
      <c r="G36" s="78">
        <f>SUM(G8,G13,G17,G20,G27,G29)</f>
        <v>12400250</v>
      </c>
    </row>
    <row r="37" spans="1:7" s="76" customFormat="1" ht="15.75" customHeight="1">
      <c r="G37" s="165"/>
    </row>
    <row r="38" spans="1:7" s="76" customFormat="1" ht="15.75" customHeight="1">
      <c r="G38" s="165"/>
    </row>
    <row r="39" spans="1:7" s="76" customFormat="1" ht="15.75" customHeight="1"/>
    <row r="40" spans="1:7" s="76" customFormat="1" ht="15.75" customHeight="1"/>
    <row r="41" spans="1:7" s="76" customFormat="1" ht="15.75" customHeight="1"/>
    <row r="42" spans="1:7" s="76" customFormat="1" ht="15.75" customHeight="1"/>
    <row r="43" spans="1:7" s="76" customFormat="1" ht="15.75" customHeight="1"/>
    <row r="44" spans="1:7" s="76" customFormat="1" ht="15.75" customHeight="1"/>
    <row r="45" spans="1:7" s="76" customFormat="1" ht="15.75" customHeight="1"/>
    <row r="46" spans="1:7" s="76" customFormat="1" ht="15.75" customHeight="1"/>
    <row r="47" spans="1:7" s="76" customFormat="1" ht="15.75" customHeight="1"/>
    <row r="48" spans="1:7" s="76" customFormat="1" ht="15.75" customHeight="1"/>
    <row r="49" s="76" customFormat="1" ht="15.75" customHeight="1"/>
    <row r="50" s="76" customFormat="1" ht="15.75" customHeight="1"/>
    <row r="51" s="76" customFormat="1" ht="15.75" customHeight="1"/>
    <row r="52" s="76" customFormat="1" ht="15.75" customHeight="1"/>
    <row r="53" s="76" customFormat="1" ht="15.75" customHeight="1"/>
    <row r="54" s="76" customFormat="1" ht="15.75" customHeight="1"/>
    <row r="55" s="76" customFormat="1" ht="15.75" customHeight="1"/>
    <row r="56" s="76" customFormat="1" ht="15.75" customHeight="1"/>
    <row r="57" s="76" customFormat="1" ht="15.75" customHeight="1"/>
    <row r="58" s="76" customFormat="1" ht="15.75" customHeight="1"/>
    <row r="59" s="76" customFormat="1" ht="15.75" customHeight="1"/>
    <row r="60" s="76" customFormat="1" ht="15.75" customHeight="1"/>
    <row r="61" s="76" customFormat="1" ht="15.75" customHeight="1"/>
    <row r="62" s="76" customFormat="1" ht="15.75" customHeight="1"/>
    <row r="63" s="76" customFormat="1" ht="15.75" customHeight="1"/>
    <row r="64" s="76" customFormat="1" ht="15.75" customHeight="1"/>
    <row r="65" s="76" customFormat="1" ht="15.75" customHeight="1"/>
    <row r="66" s="76" customFormat="1" ht="15.75" customHeight="1"/>
    <row r="67" s="76" customFormat="1" ht="15.75" customHeight="1"/>
    <row r="68" s="76" customFormat="1" ht="15.75" customHeight="1"/>
    <row r="69" s="76" customFormat="1" ht="15.75" customHeight="1"/>
    <row r="70" s="76" customFormat="1" ht="15.75" customHeight="1"/>
    <row r="71" s="76" customFormat="1" ht="15.75" customHeight="1"/>
    <row r="72" s="76" customFormat="1" ht="15.75" customHeight="1"/>
    <row r="73" s="76" customFormat="1" ht="15.75" customHeight="1"/>
    <row r="74" s="76" customFormat="1" ht="15.75" customHeight="1"/>
    <row r="75" s="76" customFormat="1" ht="15.75" customHeight="1"/>
    <row r="76" s="76" customFormat="1" ht="15.75" customHeight="1"/>
    <row r="77" s="76" customFormat="1" ht="15.75" customHeight="1"/>
    <row r="78" s="76" customFormat="1" ht="15.75" customHeight="1"/>
    <row r="79" s="76" customFormat="1" ht="15.75" customHeight="1"/>
    <row r="80" s="76" customFormat="1" ht="15.75" customHeight="1"/>
    <row r="81" s="76" customFormat="1" ht="15.75" customHeight="1"/>
    <row r="82" s="76" customFormat="1" ht="15.75" customHeight="1"/>
    <row r="83" s="76" customFormat="1" ht="15.75" customHeight="1"/>
    <row r="84" s="76" customFormat="1" ht="15.75" customHeight="1"/>
    <row r="85" s="76" customFormat="1" ht="15.75" customHeight="1"/>
    <row r="86" s="76" customFormat="1" ht="15.75" customHeight="1"/>
  </sheetData>
  <mergeCells count="5">
    <mergeCell ref="C7:D7"/>
    <mergeCell ref="A2:B2"/>
    <mergeCell ref="A4:E4"/>
    <mergeCell ref="E6:G6"/>
    <mergeCell ref="B36:F36"/>
  </mergeCells>
  <pageMargins left="0" right="0" top="0" bottom="0" header="0" footer="0"/>
  <pageSetup scale="8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D1E7-21C1-4F86-8769-15639646A0D1}">
  <dimension ref="A2:I81"/>
  <sheetViews>
    <sheetView tabSelected="1" zoomScale="85" zoomScaleNormal="118" workbookViewId="0">
      <selection activeCell="I7" sqref="I7"/>
    </sheetView>
  </sheetViews>
  <sheetFormatPr defaultColWidth="14.46484375" defaultRowHeight="15" customHeight="1"/>
  <cols>
    <col min="1" max="1" width="8.796875" style="76" customWidth="1"/>
    <col min="2" max="2" width="53.46484375" style="76" customWidth="1"/>
    <col min="3" max="3" width="5.19921875" style="76" customWidth="1"/>
    <col min="4" max="4" width="5.796875" style="76" customWidth="1"/>
    <col min="5" max="5" width="34.46484375" style="76" bestFit="1" customWidth="1"/>
    <col min="6" max="6" width="19.19921875" style="76" customWidth="1"/>
    <col min="7" max="7" width="15" style="76" customWidth="1"/>
    <col min="8" max="8" width="13" style="76" bestFit="1" customWidth="1"/>
    <col min="9" max="9" width="13.796875" style="76" customWidth="1"/>
    <col min="10" max="10" width="11.19921875" style="76" customWidth="1"/>
    <col min="11" max="11" width="8.796875" style="76" customWidth="1"/>
    <col min="12" max="16384" width="14.46484375" style="76"/>
  </cols>
  <sheetData>
    <row r="2" spans="1:9" ht="18">
      <c r="A2" s="132" t="s">
        <v>114</v>
      </c>
      <c r="B2" s="129"/>
      <c r="C2" s="125"/>
      <c r="D2" s="125"/>
      <c r="E2" s="125"/>
      <c r="F2" s="127"/>
      <c r="G2" s="127"/>
    </row>
    <row r="3" spans="1:9" ht="14.25">
      <c r="A3" s="126" t="s">
        <v>1</v>
      </c>
      <c r="B3" s="131"/>
      <c r="C3" s="127"/>
      <c r="D3" s="127"/>
      <c r="E3" s="127"/>
      <c r="F3" s="127"/>
      <c r="G3" s="127"/>
    </row>
    <row r="4" spans="1:9" ht="14.25">
      <c r="A4" s="130" t="s">
        <v>2</v>
      </c>
      <c r="B4" s="129"/>
      <c r="C4" s="129"/>
      <c r="D4" s="129"/>
      <c r="E4" s="129"/>
      <c r="F4" s="127"/>
      <c r="G4" s="127"/>
    </row>
    <row r="5" spans="1:9" ht="14.25">
      <c r="A5" s="128"/>
      <c r="B5" s="128"/>
      <c r="C5" s="128"/>
      <c r="D5" s="128"/>
      <c r="E5" s="128"/>
      <c r="F5" s="127"/>
      <c r="G5" s="127"/>
    </row>
    <row r="6" spans="1:9" ht="15.75" customHeight="1">
      <c r="A6" s="127"/>
      <c r="B6" s="126"/>
      <c r="C6" s="125"/>
      <c r="D6" s="125"/>
      <c r="E6" s="124" t="s">
        <v>115</v>
      </c>
      <c r="F6" s="123"/>
      <c r="G6" s="122"/>
    </row>
    <row r="7" spans="1:9" ht="14.25">
      <c r="A7" s="119" t="s">
        <v>3</v>
      </c>
      <c r="B7" s="119" t="s">
        <v>4</v>
      </c>
      <c r="C7" s="121" t="s">
        <v>6</v>
      </c>
      <c r="D7" s="120"/>
      <c r="E7" s="119" t="s">
        <v>7</v>
      </c>
      <c r="F7" s="118" t="s">
        <v>116</v>
      </c>
      <c r="G7" s="118" t="s">
        <v>117</v>
      </c>
    </row>
    <row r="8" spans="1:9" ht="14.25">
      <c r="A8" s="112" t="s">
        <v>10</v>
      </c>
      <c r="B8" s="111" t="s">
        <v>11</v>
      </c>
      <c r="C8" s="112">
        <v>1</v>
      </c>
      <c r="D8" s="112" t="s">
        <v>13</v>
      </c>
      <c r="E8" s="112"/>
      <c r="F8" s="108"/>
      <c r="G8" s="108">
        <f>SUM(G9:G12)</f>
        <v>3630000</v>
      </c>
    </row>
    <row r="9" spans="1:9" ht="14.25">
      <c r="A9" s="88">
        <v>1</v>
      </c>
      <c r="B9" s="91" t="s">
        <v>14</v>
      </c>
      <c r="C9" s="88">
        <v>7700</v>
      </c>
      <c r="D9" s="88" t="s">
        <v>15</v>
      </c>
      <c r="E9" s="88"/>
      <c r="F9" s="84">
        <v>94.600000000000009</v>
      </c>
      <c r="G9" s="84">
        <f>C9*F9</f>
        <v>728420.00000000012</v>
      </c>
      <c r="H9" s="77"/>
      <c r="I9" s="27"/>
    </row>
    <row r="10" spans="1:9" ht="14.25">
      <c r="A10" s="88">
        <v>2</v>
      </c>
      <c r="B10" s="91" t="s">
        <v>17</v>
      </c>
      <c r="C10" s="88">
        <v>7700</v>
      </c>
      <c r="D10" s="88" t="s">
        <v>15</v>
      </c>
      <c r="E10" s="88"/>
      <c r="F10" s="84">
        <v>94.600000000000009</v>
      </c>
      <c r="G10" s="84">
        <f>C10*F10</f>
        <v>728420.00000000012</v>
      </c>
      <c r="H10" s="77"/>
      <c r="I10" s="27"/>
    </row>
    <row r="11" spans="1:9" ht="14.25">
      <c r="A11" s="88">
        <v>3</v>
      </c>
      <c r="B11" s="91" t="s">
        <v>18</v>
      </c>
      <c r="C11" s="88">
        <v>1</v>
      </c>
      <c r="D11" s="88" t="s">
        <v>13</v>
      </c>
      <c r="E11" s="88"/>
      <c r="F11" s="84">
        <v>2530000</v>
      </c>
      <c r="G11" s="84">
        <f>C11*F11</f>
        <v>2530000</v>
      </c>
      <c r="H11" s="77"/>
      <c r="I11" s="27"/>
    </row>
    <row r="12" spans="1:9" ht="14.25">
      <c r="A12" s="88"/>
      <c r="B12" s="117" t="s">
        <v>19</v>
      </c>
      <c r="C12" s="116">
        <v>1</v>
      </c>
      <c r="D12" s="116"/>
      <c r="E12" s="116"/>
      <c r="F12" s="115">
        <v>-356840</v>
      </c>
      <c r="G12" s="115">
        <f>F12*C12</f>
        <v>-356840</v>
      </c>
      <c r="H12" s="77"/>
      <c r="I12" s="27"/>
    </row>
    <row r="13" spans="1:9" ht="14.25">
      <c r="A13" s="112" t="s">
        <v>20</v>
      </c>
      <c r="B13" s="111" t="s">
        <v>118</v>
      </c>
      <c r="C13" s="110">
        <v>1</v>
      </c>
      <c r="D13" s="110" t="s">
        <v>71</v>
      </c>
      <c r="E13" s="110"/>
      <c r="F13" s="109"/>
      <c r="G13" s="108">
        <f>SUM(G14:G15)</f>
        <v>1155000</v>
      </c>
      <c r="H13" s="77"/>
      <c r="I13" s="27"/>
    </row>
    <row r="14" spans="1:9" ht="14.25">
      <c r="A14" s="88">
        <v>1</v>
      </c>
      <c r="B14" s="89" t="s">
        <v>119</v>
      </c>
      <c r="C14" s="88">
        <v>1</v>
      </c>
      <c r="D14" s="88" t="s">
        <v>120</v>
      </c>
      <c r="E14" s="88" t="s">
        <v>16</v>
      </c>
      <c r="F14" s="84">
        <v>275000</v>
      </c>
      <c r="G14" s="84">
        <f>C14*F14</f>
        <v>275000</v>
      </c>
      <c r="H14" s="77"/>
      <c r="I14" s="27"/>
    </row>
    <row r="15" spans="1:9" ht="14.25">
      <c r="A15" s="88">
        <v>2</v>
      </c>
      <c r="B15" s="91" t="s">
        <v>121</v>
      </c>
      <c r="C15" s="88">
        <v>1</v>
      </c>
      <c r="D15" s="88" t="s">
        <v>71</v>
      </c>
      <c r="E15" s="88" t="s">
        <v>16</v>
      </c>
      <c r="F15" s="84">
        <v>880000.00000000012</v>
      </c>
      <c r="G15" s="84">
        <f>C15*F15</f>
        <v>880000.00000000012</v>
      </c>
      <c r="H15" s="77"/>
      <c r="I15" s="27"/>
    </row>
    <row r="16" spans="1:9" ht="14.25">
      <c r="A16" s="88"/>
      <c r="B16" s="91"/>
      <c r="C16" s="88"/>
      <c r="D16" s="88"/>
      <c r="E16" s="88"/>
      <c r="F16" s="84"/>
      <c r="G16" s="84"/>
      <c r="H16" s="77"/>
      <c r="I16" s="27"/>
    </row>
    <row r="17" spans="1:9" ht="14.25">
      <c r="A17" s="112" t="s">
        <v>47</v>
      </c>
      <c r="B17" s="111" t="s">
        <v>61</v>
      </c>
      <c r="C17" s="110"/>
      <c r="D17" s="110"/>
      <c r="E17" s="110"/>
      <c r="F17" s="109"/>
      <c r="G17" s="108">
        <f>SUM(G18)</f>
        <v>1650000.0000000002</v>
      </c>
      <c r="H17" s="77"/>
      <c r="I17" s="27"/>
    </row>
    <row r="18" spans="1:9" ht="14.25">
      <c r="A18" s="88">
        <v>1</v>
      </c>
      <c r="B18" s="91" t="s">
        <v>122</v>
      </c>
      <c r="C18" s="88">
        <v>1</v>
      </c>
      <c r="D18" s="88" t="s">
        <v>71</v>
      </c>
      <c r="E18" s="88" t="s">
        <v>123</v>
      </c>
      <c r="F18" s="84">
        <v>1650000.0000000002</v>
      </c>
      <c r="G18" s="84">
        <f>C18*F18</f>
        <v>1650000.0000000002</v>
      </c>
      <c r="H18" s="77"/>
      <c r="I18" s="27"/>
    </row>
    <row r="19" spans="1:9" ht="15.75" customHeight="1">
      <c r="A19" s="114"/>
      <c r="B19" s="113"/>
      <c r="C19" s="88"/>
      <c r="D19" s="88"/>
      <c r="E19" s="88"/>
      <c r="F19" s="84"/>
      <c r="G19" s="84"/>
      <c r="H19" s="77"/>
      <c r="I19" s="27"/>
    </row>
    <row r="20" spans="1:9" ht="15.75" customHeight="1">
      <c r="A20" s="112" t="s">
        <v>54</v>
      </c>
      <c r="B20" s="111" t="s">
        <v>73</v>
      </c>
      <c r="C20" s="110"/>
      <c r="D20" s="110"/>
      <c r="E20" s="110"/>
      <c r="F20" s="109"/>
      <c r="G20" s="108">
        <f>SUM(G21:G25)</f>
        <v>4922500</v>
      </c>
      <c r="H20" s="77"/>
      <c r="I20" s="27"/>
    </row>
    <row r="21" spans="1:9" ht="15.75" customHeight="1">
      <c r="A21" s="88">
        <v>1</v>
      </c>
      <c r="B21" s="93" t="s">
        <v>124</v>
      </c>
      <c r="C21" s="88">
        <v>15</v>
      </c>
      <c r="D21" s="88" t="s">
        <v>125</v>
      </c>
      <c r="E21" s="106" t="s">
        <v>76</v>
      </c>
      <c r="F21" s="107">
        <v>165000</v>
      </c>
      <c r="G21" s="84">
        <f>C21*F21</f>
        <v>2475000</v>
      </c>
      <c r="H21" s="77"/>
      <c r="I21" s="27"/>
    </row>
    <row r="22" spans="1:9" ht="15.75" customHeight="1">
      <c r="A22" s="88">
        <v>2</v>
      </c>
      <c r="B22" s="91" t="s">
        <v>126</v>
      </c>
      <c r="C22" s="88">
        <v>5</v>
      </c>
      <c r="D22" s="88" t="s">
        <v>125</v>
      </c>
      <c r="E22" s="106" t="s">
        <v>76</v>
      </c>
      <c r="F22" s="107">
        <v>55000.000000000007</v>
      </c>
      <c r="G22" s="84">
        <f>C22*F22</f>
        <v>275000.00000000006</v>
      </c>
      <c r="H22" s="77"/>
      <c r="I22" s="27"/>
    </row>
    <row r="23" spans="1:9" ht="15.75" customHeight="1">
      <c r="A23" s="88">
        <v>3</v>
      </c>
      <c r="B23" s="91" t="s">
        <v>127</v>
      </c>
      <c r="C23" s="88">
        <v>15</v>
      </c>
      <c r="D23" s="88" t="s">
        <v>125</v>
      </c>
      <c r="E23" s="106" t="s">
        <v>76</v>
      </c>
      <c r="F23" s="84">
        <v>38500</v>
      </c>
      <c r="G23" s="84">
        <f>C23*F23</f>
        <v>577500</v>
      </c>
      <c r="H23" s="77"/>
      <c r="I23" s="27"/>
    </row>
    <row r="24" spans="1:9" ht="15.75" customHeight="1">
      <c r="A24" s="88">
        <v>4</v>
      </c>
      <c r="B24" s="91" t="s">
        <v>65</v>
      </c>
      <c r="C24" s="88">
        <v>1</v>
      </c>
      <c r="D24" s="88" t="s">
        <v>53</v>
      </c>
      <c r="E24" s="88"/>
      <c r="F24" s="84">
        <v>1100000</v>
      </c>
      <c r="G24" s="84">
        <f>C24*F24</f>
        <v>1100000</v>
      </c>
      <c r="H24" s="77"/>
      <c r="I24" s="27"/>
    </row>
    <row r="25" spans="1:9" ht="15.75" customHeight="1">
      <c r="A25" s="88">
        <v>5</v>
      </c>
      <c r="B25" s="91" t="s">
        <v>128</v>
      </c>
      <c r="C25" s="88">
        <v>15</v>
      </c>
      <c r="D25" s="88" t="s">
        <v>125</v>
      </c>
      <c r="E25" s="88" t="s">
        <v>129</v>
      </c>
      <c r="F25" s="84">
        <v>33000</v>
      </c>
      <c r="G25" s="84">
        <f>C25*F25</f>
        <v>495000</v>
      </c>
      <c r="H25" s="77"/>
      <c r="I25" s="27"/>
    </row>
    <row r="26" spans="1:9" ht="15.75" customHeight="1">
      <c r="A26" s="91"/>
      <c r="B26" s="105"/>
      <c r="C26" s="104"/>
      <c r="D26" s="104"/>
      <c r="E26" s="104"/>
      <c r="F26" s="103"/>
      <c r="G26" s="84"/>
      <c r="H26" s="77"/>
      <c r="I26" s="27"/>
    </row>
    <row r="27" spans="1:9" ht="15.75" customHeight="1">
      <c r="A27" s="100" t="s">
        <v>60</v>
      </c>
      <c r="B27" s="102" t="s">
        <v>88</v>
      </c>
      <c r="C27" s="98">
        <v>1</v>
      </c>
      <c r="D27" s="98" t="s">
        <v>13</v>
      </c>
      <c r="E27" s="98"/>
      <c r="F27" s="101">
        <v>550000</v>
      </c>
      <c r="G27" s="95">
        <f>C27*F27</f>
        <v>550000</v>
      </c>
      <c r="H27" s="77"/>
      <c r="I27" s="27"/>
    </row>
    <row r="28" spans="1:9" ht="15.75" customHeight="1">
      <c r="A28" s="100" t="s">
        <v>67</v>
      </c>
      <c r="B28" s="99" t="s">
        <v>130</v>
      </c>
      <c r="C28" s="98"/>
      <c r="D28" s="98"/>
      <c r="E28" s="97"/>
      <c r="F28" s="96"/>
      <c r="G28" s="95">
        <f>SUM(G29:G34)</f>
        <v>520025</v>
      </c>
      <c r="H28" s="77"/>
      <c r="I28" s="27"/>
    </row>
    <row r="29" spans="1:9" ht="15.75" customHeight="1">
      <c r="A29" s="88">
        <v>1</v>
      </c>
      <c r="B29" s="94" t="s">
        <v>131</v>
      </c>
      <c r="C29" s="93" t="s">
        <v>132</v>
      </c>
      <c r="D29" s="92" t="s">
        <v>30</v>
      </c>
      <c r="E29" s="92" t="s">
        <v>133</v>
      </c>
      <c r="F29" s="84">
        <v>76450</v>
      </c>
      <c r="G29" s="84">
        <v>48125.000000000007</v>
      </c>
      <c r="H29" s="77"/>
      <c r="I29" s="27"/>
    </row>
    <row r="30" spans="1:9" ht="37.450000000000003" customHeight="1">
      <c r="A30" s="88">
        <v>2</v>
      </c>
      <c r="B30" s="89" t="s">
        <v>134</v>
      </c>
      <c r="C30" s="91" t="s">
        <v>135</v>
      </c>
      <c r="D30" s="88" t="s">
        <v>26</v>
      </c>
      <c r="E30" s="88" t="s">
        <v>133</v>
      </c>
      <c r="F30" s="84">
        <v>1870000.0000000002</v>
      </c>
      <c r="G30" s="84">
        <v>149600</v>
      </c>
      <c r="H30" s="77"/>
      <c r="I30" s="27"/>
    </row>
    <row r="31" spans="1:9" ht="41.55" customHeight="1">
      <c r="A31" s="88">
        <v>3</v>
      </c>
      <c r="B31" s="89" t="s">
        <v>136</v>
      </c>
      <c r="C31" s="91" t="s">
        <v>137</v>
      </c>
      <c r="D31" s="88" t="s">
        <v>30</v>
      </c>
      <c r="E31" s="88" t="s">
        <v>133</v>
      </c>
      <c r="F31" s="84">
        <v>321310</v>
      </c>
      <c r="G31" s="84">
        <v>122100.00000000001</v>
      </c>
      <c r="H31" s="77"/>
      <c r="I31" s="27"/>
    </row>
    <row r="32" spans="1:9" ht="40.450000000000003" customHeight="1">
      <c r="A32" s="88">
        <v>4</v>
      </c>
      <c r="B32" s="89" t="s">
        <v>138</v>
      </c>
      <c r="C32" s="91" t="s">
        <v>139</v>
      </c>
      <c r="D32" s="90" t="s">
        <v>40</v>
      </c>
      <c r="E32" s="90" t="s">
        <v>133</v>
      </c>
      <c r="F32" s="84">
        <v>25740.000000000004</v>
      </c>
      <c r="G32" s="84">
        <v>40700</v>
      </c>
      <c r="H32" s="77"/>
      <c r="I32" s="27"/>
    </row>
    <row r="33" spans="1:9" ht="21" customHeight="1">
      <c r="A33" s="88">
        <v>5</v>
      </c>
      <c r="B33" s="89" t="s">
        <v>140</v>
      </c>
      <c r="C33" s="88">
        <v>1</v>
      </c>
      <c r="D33" s="88" t="s">
        <v>30</v>
      </c>
      <c r="E33" s="88" t="s">
        <v>133</v>
      </c>
      <c r="F33" s="84">
        <v>69300</v>
      </c>
      <c r="G33" s="84">
        <v>69300</v>
      </c>
      <c r="H33" s="77"/>
      <c r="I33" s="27"/>
    </row>
    <row r="34" spans="1:9" ht="35.549999999999997" customHeight="1">
      <c r="A34" s="87">
        <v>6</v>
      </c>
      <c r="B34" s="86" t="s">
        <v>141</v>
      </c>
      <c r="C34" s="85">
        <v>1</v>
      </c>
      <c r="D34" s="85" t="s">
        <v>30</v>
      </c>
      <c r="E34" s="85" t="s">
        <v>133</v>
      </c>
      <c r="F34" s="84">
        <v>90200.000000000015</v>
      </c>
      <c r="G34" s="84">
        <v>90200.000000000015</v>
      </c>
      <c r="H34" s="77"/>
      <c r="I34" s="27"/>
    </row>
    <row r="35" spans="1:9" ht="15.75" customHeight="1">
      <c r="A35" s="82" t="s">
        <v>89</v>
      </c>
      <c r="B35" s="81"/>
      <c r="C35" s="80"/>
      <c r="D35" s="80"/>
      <c r="E35" s="80"/>
      <c r="F35" s="79"/>
      <c r="G35" s="78">
        <f>SUM(G8,G13,G17,G20,G27,G28)</f>
        <v>12427525</v>
      </c>
      <c r="H35" s="77"/>
      <c r="I35" s="27"/>
    </row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s="76" customFormat="1" ht="15.75" customHeight="1"/>
    <row r="50" s="76" customFormat="1" ht="15.75" customHeight="1"/>
    <row r="51" s="76" customFormat="1" ht="15.75" customHeight="1"/>
    <row r="52" s="76" customFormat="1" ht="15.75" customHeight="1"/>
    <row r="53" s="76" customFormat="1" ht="15.75" customHeight="1"/>
    <row r="54" s="76" customFormat="1" ht="15.75" customHeight="1"/>
    <row r="55" s="76" customFormat="1" ht="15.75" customHeight="1"/>
    <row r="56" s="76" customFormat="1" ht="15.75" customHeight="1"/>
    <row r="57" s="76" customFormat="1" ht="15.75" customHeight="1"/>
    <row r="58" s="76" customFormat="1" ht="15.75" customHeight="1"/>
    <row r="59" s="76" customFormat="1" ht="15.75" customHeight="1"/>
    <row r="60" s="76" customFormat="1" ht="15.75" customHeight="1"/>
    <row r="61" s="76" customFormat="1" ht="15.75" customHeight="1"/>
    <row r="62" s="76" customFormat="1" ht="15.75" customHeight="1"/>
    <row r="63" s="76" customFormat="1" ht="15.75" customHeight="1"/>
    <row r="64" s="76" customFormat="1" ht="15.75" customHeight="1"/>
    <row r="65" s="76" customFormat="1" ht="15.75" customHeight="1"/>
    <row r="66" s="76" customFormat="1" ht="15.75" customHeight="1"/>
    <row r="67" s="76" customFormat="1" ht="15.75" customHeight="1"/>
    <row r="68" s="76" customFormat="1" ht="15.75" customHeight="1"/>
    <row r="69" s="76" customFormat="1" ht="15.75" customHeight="1"/>
    <row r="70" s="76" customFormat="1" ht="15.75" customHeight="1"/>
    <row r="71" s="76" customFormat="1" ht="15.75" customHeight="1"/>
    <row r="72" s="76" customFormat="1" ht="15.75" customHeight="1"/>
    <row r="73" s="76" customFormat="1" ht="15.75" customHeight="1"/>
    <row r="74" s="76" customFormat="1" ht="15.75" customHeight="1"/>
    <row r="75" s="76" customFormat="1" ht="15.75" customHeight="1"/>
    <row r="76" s="76" customFormat="1" ht="15.75" customHeight="1"/>
    <row r="77" s="76" customFormat="1" ht="15.75" customHeight="1"/>
    <row r="78" s="76" customFormat="1" ht="15.75" customHeight="1"/>
    <row r="79" s="76" customFormat="1" ht="15.75" customHeight="1"/>
    <row r="80" s="76" customFormat="1" ht="15.75" customHeight="1"/>
    <row r="81" s="76" customFormat="1" ht="15.75" customHeight="1"/>
  </sheetData>
  <mergeCells count="5">
    <mergeCell ref="B35:F35"/>
    <mergeCell ref="A2:B2"/>
    <mergeCell ref="A4:E4"/>
    <mergeCell ref="E6:G6"/>
    <mergeCell ref="C7:D7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226B-357C-4CD7-9F64-A4625625B644}">
  <dimension ref="A1:M82"/>
  <sheetViews>
    <sheetView zoomScaleNormal="70" workbookViewId="0">
      <selection activeCell="I14" sqref="I14"/>
    </sheetView>
  </sheetViews>
  <sheetFormatPr defaultColWidth="14.46484375" defaultRowHeight="15" customHeight="1"/>
  <cols>
    <col min="1" max="1" width="9.796875" style="76" customWidth="1"/>
    <col min="2" max="2" width="47.46484375" style="76" customWidth="1"/>
    <col min="3" max="3" width="6.19921875" style="76" customWidth="1"/>
    <col min="4" max="4" width="5.46484375" style="76" customWidth="1"/>
    <col min="5" max="5" width="32.19921875" style="76" bestFit="1" customWidth="1"/>
    <col min="6" max="6" width="19" style="76" customWidth="1"/>
    <col min="7" max="7" width="19.46484375" style="76" customWidth="1"/>
    <col min="8" max="8" width="8.796875" style="76" customWidth="1"/>
    <col min="9" max="9" width="8.796875" style="27" customWidth="1"/>
    <col min="10" max="11" width="8.796875" style="76" customWidth="1"/>
    <col min="12" max="12" width="20.46484375" style="76" customWidth="1"/>
    <col min="13" max="13" width="14.46484375" style="76"/>
    <col min="14" max="14" width="14.46484375" style="76" customWidth="1"/>
    <col min="15" max="16384" width="14.46484375" style="76"/>
  </cols>
  <sheetData>
    <row r="1" spans="1:13" ht="14.25">
      <c r="A1" s="164"/>
      <c r="B1" s="164"/>
      <c r="C1" s="164"/>
      <c r="D1" s="164"/>
      <c r="E1" s="164"/>
      <c r="F1" s="164"/>
      <c r="G1" s="164"/>
    </row>
    <row r="2" spans="1:13" ht="18">
      <c r="A2" s="132" t="s">
        <v>142</v>
      </c>
      <c r="B2" s="129"/>
      <c r="C2" s="125"/>
      <c r="D2" s="125"/>
      <c r="E2" s="125"/>
      <c r="F2" s="127"/>
      <c r="G2" s="127"/>
    </row>
    <row r="3" spans="1:13" ht="15" customHeight="1">
      <c r="A3" s="126" t="s">
        <v>1</v>
      </c>
      <c r="B3" s="131"/>
      <c r="C3" s="127"/>
      <c r="D3" s="127"/>
      <c r="E3" s="127"/>
      <c r="F3" s="127"/>
      <c r="G3" s="127"/>
    </row>
    <row r="4" spans="1:13" ht="15" customHeight="1">
      <c r="A4" s="130" t="s">
        <v>2</v>
      </c>
      <c r="B4" s="129"/>
      <c r="C4" s="129"/>
      <c r="D4" s="129"/>
      <c r="E4" s="129"/>
      <c r="F4" s="127"/>
      <c r="G4" s="127"/>
    </row>
    <row r="5" spans="1:13" ht="14.25">
      <c r="A5" s="128"/>
      <c r="B5" s="128"/>
      <c r="C5" s="128"/>
      <c r="D5" s="128"/>
      <c r="E5" s="128"/>
      <c r="F5" s="127"/>
      <c r="G5" s="127"/>
    </row>
    <row r="6" spans="1:13" ht="16.149999999999999" thickBot="1">
      <c r="A6" s="127"/>
      <c r="B6" s="126"/>
      <c r="C6" s="125"/>
      <c r="D6" s="125"/>
      <c r="E6" s="163" t="s">
        <v>143</v>
      </c>
      <c r="F6" s="129"/>
      <c r="G6" s="162"/>
    </row>
    <row r="7" spans="1:13" ht="14.25">
      <c r="A7" s="161" t="s">
        <v>3</v>
      </c>
      <c r="B7" s="160" t="s">
        <v>4</v>
      </c>
      <c r="C7" s="159" t="s">
        <v>6</v>
      </c>
      <c r="D7" s="158"/>
      <c r="E7" s="157" t="s">
        <v>7</v>
      </c>
      <c r="F7" s="156" t="s">
        <v>116</v>
      </c>
      <c r="G7" s="155" t="s">
        <v>117</v>
      </c>
    </row>
    <row r="8" spans="1:13" ht="14.25">
      <c r="A8" s="153" t="s">
        <v>10</v>
      </c>
      <c r="B8" s="154" t="s">
        <v>11</v>
      </c>
      <c r="C8" s="153">
        <v>1</v>
      </c>
      <c r="D8" s="153" t="s">
        <v>13</v>
      </c>
      <c r="E8" s="153"/>
      <c r="F8" s="152"/>
      <c r="G8" s="152">
        <f>SUM(G9:G12)</f>
        <v>3630000</v>
      </c>
    </row>
    <row r="9" spans="1:13" ht="14.25">
      <c r="A9" s="92">
        <v>1</v>
      </c>
      <c r="B9" s="93" t="s">
        <v>14</v>
      </c>
      <c r="C9" s="92">
        <v>11000</v>
      </c>
      <c r="D9" s="92" t="s">
        <v>15</v>
      </c>
      <c r="E9" s="92"/>
      <c r="F9" s="107">
        <v>80.300000000000011</v>
      </c>
      <c r="G9" s="107">
        <f>C9*F9</f>
        <v>883300.00000000012</v>
      </c>
      <c r="H9" s="77"/>
    </row>
    <row r="10" spans="1:13" ht="14.25">
      <c r="A10" s="92">
        <v>2</v>
      </c>
      <c r="B10" s="93" t="s">
        <v>17</v>
      </c>
      <c r="C10" s="92">
        <v>11000</v>
      </c>
      <c r="D10" s="92" t="s">
        <v>15</v>
      </c>
      <c r="E10" s="92"/>
      <c r="F10" s="107">
        <v>80.300000000000011</v>
      </c>
      <c r="G10" s="107">
        <f>C10*F10</f>
        <v>883300.00000000012</v>
      </c>
      <c r="H10" s="77"/>
    </row>
    <row r="11" spans="1:13" ht="14.25">
      <c r="A11" s="92">
        <v>3</v>
      </c>
      <c r="B11" s="93" t="s">
        <v>18</v>
      </c>
      <c r="C11" s="92">
        <v>1</v>
      </c>
      <c r="D11" s="92" t="s">
        <v>13</v>
      </c>
      <c r="E11" s="92"/>
      <c r="F11" s="107">
        <v>2530000</v>
      </c>
      <c r="G11" s="107">
        <f>C11*F11</f>
        <v>2530000</v>
      </c>
      <c r="H11" s="77"/>
    </row>
    <row r="12" spans="1:13" ht="14.25">
      <c r="A12" s="92"/>
      <c r="B12" s="117" t="s">
        <v>19</v>
      </c>
      <c r="C12" s="116">
        <v>1</v>
      </c>
      <c r="D12" s="116"/>
      <c r="E12" s="116"/>
      <c r="F12" s="115">
        <v>-666600</v>
      </c>
      <c r="G12" s="115">
        <f>F12*C12</f>
        <v>-666600</v>
      </c>
      <c r="H12" s="77"/>
    </row>
    <row r="13" spans="1:13" ht="14.25">
      <c r="A13" s="147" t="s">
        <v>20</v>
      </c>
      <c r="B13" s="150" t="s">
        <v>118</v>
      </c>
      <c r="C13" s="145">
        <v>1</v>
      </c>
      <c r="D13" s="145" t="s">
        <v>71</v>
      </c>
      <c r="E13" s="145"/>
      <c r="F13" s="144"/>
      <c r="G13" s="143">
        <f>SUM(G14:G15)</f>
        <v>1265000</v>
      </c>
      <c r="H13" s="77"/>
    </row>
    <row r="14" spans="1:13" ht="14.25">
      <c r="A14" s="92">
        <v>1</v>
      </c>
      <c r="B14" s="94" t="s">
        <v>119</v>
      </c>
      <c r="C14" s="92">
        <v>1</v>
      </c>
      <c r="D14" s="92" t="s">
        <v>120</v>
      </c>
      <c r="E14" s="92" t="s">
        <v>16</v>
      </c>
      <c r="F14" s="107">
        <v>275000</v>
      </c>
      <c r="G14" s="107">
        <f>C14*F14</f>
        <v>275000</v>
      </c>
      <c r="H14" s="77"/>
      <c r="M14" s="151"/>
    </row>
    <row r="15" spans="1:13" ht="14.25">
      <c r="A15" s="92">
        <v>2</v>
      </c>
      <c r="B15" s="93" t="s">
        <v>121</v>
      </c>
      <c r="C15" s="92">
        <v>1</v>
      </c>
      <c r="D15" s="92" t="s">
        <v>71</v>
      </c>
      <c r="E15" s="92" t="s">
        <v>16</v>
      </c>
      <c r="F15" s="107">
        <v>990000.00000000012</v>
      </c>
      <c r="G15" s="107">
        <f>C15*F15</f>
        <v>990000.00000000012</v>
      </c>
      <c r="H15" s="77"/>
      <c r="M15" s="151"/>
    </row>
    <row r="16" spans="1:13" ht="14.25">
      <c r="A16" s="92"/>
      <c r="B16" s="93"/>
      <c r="C16" s="92" t="s">
        <v>144</v>
      </c>
      <c r="D16" s="92"/>
      <c r="E16" s="92"/>
      <c r="F16" s="107"/>
      <c r="G16" s="107"/>
      <c r="H16" s="77"/>
      <c r="M16" s="151"/>
    </row>
    <row r="17" spans="1:8" ht="14.25">
      <c r="A17" s="147" t="s">
        <v>47</v>
      </c>
      <c r="B17" s="150" t="s">
        <v>61</v>
      </c>
      <c r="C17" s="145" t="s">
        <v>144</v>
      </c>
      <c r="D17" s="145"/>
      <c r="E17" s="145"/>
      <c r="F17" s="144"/>
      <c r="G17" s="143">
        <f>SUM(G18)</f>
        <v>1870000.0000000002</v>
      </c>
      <c r="H17" s="77"/>
    </row>
    <row r="18" spans="1:8" ht="14.25">
      <c r="A18" s="92">
        <v>1</v>
      </c>
      <c r="B18" s="93" t="s">
        <v>145</v>
      </c>
      <c r="C18" s="92">
        <v>1</v>
      </c>
      <c r="D18" s="92" t="s">
        <v>71</v>
      </c>
      <c r="E18" s="92" t="s">
        <v>123</v>
      </c>
      <c r="F18" s="107">
        <v>1870000.0000000002</v>
      </c>
      <c r="G18" s="107">
        <f>C18*F18</f>
        <v>1870000.0000000002</v>
      </c>
      <c r="H18" s="77"/>
    </row>
    <row r="19" spans="1:8" ht="15.75" customHeight="1">
      <c r="A19" s="149"/>
      <c r="B19" s="148"/>
      <c r="C19" s="92" t="s">
        <v>144</v>
      </c>
      <c r="D19" s="92"/>
      <c r="E19" s="92"/>
      <c r="F19" s="107"/>
      <c r="G19" s="107"/>
      <c r="H19" s="77"/>
    </row>
    <row r="20" spans="1:8" ht="15.75" customHeight="1">
      <c r="A20" s="147" t="s">
        <v>54</v>
      </c>
      <c r="B20" s="146" t="s">
        <v>73</v>
      </c>
      <c r="C20" s="145" t="s">
        <v>144</v>
      </c>
      <c r="D20" s="145"/>
      <c r="E20" s="145"/>
      <c r="F20" s="144"/>
      <c r="G20" s="143">
        <f>SUM(G21:G25)</f>
        <v>5362500</v>
      </c>
      <c r="H20" s="77"/>
    </row>
    <row r="21" spans="1:8" ht="15.75" customHeight="1">
      <c r="A21" s="92">
        <v>1</v>
      </c>
      <c r="B21" s="93" t="s">
        <v>146</v>
      </c>
      <c r="C21" s="92">
        <v>15</v>
      </c>
      <c r="D21" s="92" t="s">
        <v>125</v>
      </c>
      <c r="E21" s="142" t="s">
        <v>76</v>
      </c>
      <c r="F21" s="107">
        <v>192500.00000000003</v>
      </c>
      <c r="G21" s="107">
        <f>C21*F21</f>
        <v>2887500.0000000005</v>
      </c>
      <c r="H21" s="77"/>
    </row>
    <row r="22" spans="1:8" ht="15.75" customHeight="1">
      <c r="A22" s="92">
        <v>2</v>
      </c>
      <c r="B22" s="93" t="s">
        <v>147</v>
      </c>
      <c r="C22" s="92">
        <v>5</v>
      </c>
      <c r="D22" s="92" t="s">
        <v>125</v>
      </c>
      <c r="E22" s="142" t="s">
        <v>76</v>
      </c>
      <c r="F22" s="107">
        <v>60500.000000000007</v>
      </c>
      <c r="G22" s="107">
        <f>C22*F22</f>
        <v>302500.00000000006</v>
      </c>
      <c r="H22" s="77"/>
    </row>
    <row r="23" spans="1:8" ht="15.75" customHeight="1">
      <c r="A23" s="92">
        <v>3</v>
      </c>
      <c r="B23" s="91" t="s">
        <v>148</v>
      </c>
      <c r="C23" s="88">
        <v>15</v>
      </c>
      <c r="D23" s="88" t="s">
        <v>125</v>
      </c>
      <c r="E23" s="106" t="s">
        <v>76</v>
      </c>
      <c r="F23" s="84">
        <v>38500</v>
      </c>
      <c r="G23" s="107">
        <f>C23*F23</f>
        <v>577500</v>
      </c>
      <c r="H23" s="77"/>
    </row>
    <row r="24" spans="1:8" ht="15.75" customHeight="1">
      <c r="A24" s="92">
        <v>4</v>
      </c>
      <c r="B24" s="93" t="s">
        <v>65</v>
      </c>
      <c r="C24" s="88">
        <v>1</v>
      </c>
      <c r="D24" s="88" t="s">
        <v>53</v>
      </c>
      <c r="E24" s="88"/>
      <c r="F24" s="84">
        <v>1100000</v>
      </c>
      <c r="G24" s="107">
        <f>C24*F24</f>
        <v>1100000</v>
      </c>
      <c r="H24" s="77"/>
    </row>
    <row r="25" spans="1:8" ht="15.75" customHeight="1">
      <c r="A25" s="92">
        <v>5</v>
      </c>
      <c r="B25" s="93" t="s">
        <v>128</v>
      </c>
      <c r="C25" s="92">
        <v>15</v>
      </c>
      <c r="D25" s="92" t="s">
        <v>125</v>
      </c>
      <c r="E25" s="92" t="s">
        <v>129</v>
      </c>
      <c r="F25" s="107">
        <v>33000</v>
      </c>
      <c r="G25" s="107">
        <f>C25*F25</f>
        <v>495000</v>
      </c>
      <c r="H25" s="77"/>
    </row>
    <row r="26" spans="1:8" ht="15.75" customHeight="1">
      <c r="A26" s="127"/>
      <c r="B26" s="141"/>
      <c r="C26" s="140" t="s">
        <v>144</v>
      </c>
      <c r="D26" s="140"/>
      <c r="E26" s="140"/>
      <c r="F26" s="139"/>
      <c r="G26" s="139"/>
      <c r="H26" s="77"/>
    </row>
    <row r="27" spans="1:8" ht="15.75" customHeight="1">
      <c r="A27" s="138" t="s">
        <v>60</v>
      </c>
      <c r="B27" s="137" t="s">
        <v>88</v>
      </c>
      <c r="C27" s="136">
        <v>1</v>
      </c>
      <c r="D27" s="136" t="s">
        <v>13</v>
      </c>
      <c r="E27" s="136"/>
      <c r="F27" s="135">
        <v>550000</v>
      </c>
      <c r="G27" s="134">
        <f>C27*F27</f>
        <v>550000</v>
      </c>
      <c r="H27" s="77"/>
    </row>
    <row r="28" spans="1:8" ht="15.75" customHeight="1">
      <c r="A28" s="100" t="s">
        <v>67</v>
      </c>
      <c r="B28" s="99" t="s">
        <v>130</v>
      </c>
      <c r="C28" s="98"/>
      <c r="D28" s="98"/>
      <c r="E28" s="97"/>
      <c r="F28" s="96"/>
      <c r="G28" s="95">
        <f>SUM(G29:G34)</f>
        <v>520025</v>
      </c>
      <c r="H28" s="77"/>
    </row>
    <row r="29" spans="1:8" ht="24.7" customHeight="1">
      <c r="A29" s="88">
        <v>1</v>
      </c>
      <c r="B29" s="94" t="s">
        <v>131</v>
      </c>
      <c r="C29" s="93" t="s">
        <v>132</v>
      </c>
      <c r="D29" s="93" t="s">
        <v>30</v>
      </c>
      <c r="E29" s="92" t="s">
        <v>133</v>
      </c>
      <c r="F29" s="84">
        <v>76450</v>
      </c>
      <c r="G29" s="84">
        <v>48125.000000000007</v>
      </c>
      <c r="H29" s="77"/>
    </row>
    <row r="30" spans="1:8" ht="25.45" customHeight="1">
      <c r="A30" s="88">
        <v>2</v>
      </c>
      <c r="B30" s="89" t="s">
        <v>134</v>
      </c>
      <c r="C30" s="91" t="s">
        <v>135</v>
      </c>
      <c r="D30" s="91" t="s">
        <v>26</v>
      </c>
      <c r="E30" s="88" t="s">
        <v>133</v>
      </c>
      <c r="F30" s="84">
        <v>1870000.0000000002</v>
      </c>
      <c r="G30" s="84">
        <v>149600</v>
      </c>
      <c r="H30" s="77"/>
    </row>
    <row r="31" spans="1:8" ht="27.7" customHeight="1">
      <c r="A31" s="88">
        <v>3</v>
      </c>
      <c r="B31" s="89" t="s">
        <v>136</v>
      </c>
      <c r="C31" s="91" t="s">
        <v>137</v>
      </c>
      <c r="D31" s="91" t="s">
        <v>30</v>
      </c>
      <c r="E31" s="88" t="s">
        <v>133</v>
      </c>
      <c r="F31" s="84">
        <v>321310</v>
      </c>
      <c r="G31" s="84">
        <v>122100.00000000001</v>
      </c>
      <c r="H31" s="77"/>
    </row>
    <row r="32" spans="1:8" ht="26.55" customHeight="1">
      <c r="A32" s="88">
        <v>4</v>
      </c>
      <c r="B32" s="89" t="s">
        <v>138</v>
      </c>
      <c r="C32" s="91" t="s">
        <v>139</v>
      </c>
      <c r="D32" s="133" t="s">
        <v>40</v>
      </c>
      <c r="E32" s="90" t="s">
        <v>133</v>
      </c>
      <c r="F32" s="84">
        <v>25740.000000000004</v>
      </c>
      <c r="G32" s="84">
        <v>40700</v>
      </c>
      <c r="H32" s="77"/>
    </row>
    <row r="33" spans="1:8" ht="32.549999999999997" customHeight="1">
      <c r="A33" s="88">
        <v>5</v>
      </c>
      <c r="B33" s="89" t="s">
        <v>140</v>
      </c>
      <c r="C33" s="88">
        <v>1</v>
      </c>
      <c r="D33" s="91" t="s">
        <v>30</v>
      </c>
      <c r="E33" s="88" t="s">
        <v>133</v>
      </c>
      <c r="F33" s="84">
        <v>69300</v>
      </c>
      <c r="G33" s="84">
        <v>69300</v>
      </c>
      <c r="H33" s="77"/>
    </row>
    <row r="34" spans="1:8" ht="36" customHeight="1">
      <c r="A34" s="88">
        <v>6</v>
      </c>
      <c r="B34" s="89" t="s">
        <v>141</v>
      </c>
      <c r="C34" s="88">
        <v>1</v>
      </c>
      <c r="D34" s="91" t="s">
        <v>30</v>
      </c>
      <c r="E34" s="88" t="s">
        <v>133</v>
      </c>
      <c r="F34" s="84">
        <v>90200.000000000015</v>
      </c>
      <c r="G34" s="84">
        <v>90200.000000000015</v>
      </c>
      <c r="H34" s="77"/>
    </row>
    <row r="35" spans="1:8" ht="15.75" customHeight="1">
      <c r="A35" s="82" t="s">
        <v>89</v>
      </c>
      <c r="B35" s="81"/>
      <c r="C35" s="80"/>
      <c r="D35" s="80"/>
      <c r="E35" s="80"/>
      <c r="F35" s="79"/>
      <c r="G35" s="78">
        <f>SUM(G8,G13,G17,G20,G27,G28)</f>
        <v>13197525</v>
      </c>
      <c r="H35" s="77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5">
    <mergeCell ref="A2:B2"/>
    <mergeCell ref="A4:E4"/>
    <mergeCell ref="E6:G6"/>
    <mergeCell ref="C7:D7"/>
    <mergeCell ref="B35:F35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6C9A-9FC6-4839-9A79-B0174AF5952D}">
  <dimension ref="A1:H86"/>
  <sheetViews>
    <sheetView zoomScale="70" zoomScaleNormal="70" workbookViewId="0">
      <selection activeCell="I14" sqref="I14"/>
    </sheetView>
  </sheetViews>
  <sheetFormatPr defaultColWidth="14.46484375" defaultRowHeight="15" customHeight="1"/>
  <cols>
    <col min="1" max="1" width="8.796875" style="76" customWidth="1"/>
    <col min="2" max="2" width="46.796875" style="76" bestFit="1" customWidth="1"/>
    <col min="3" max="3" width="8" style="76" customWidth="1"/>
    <col min="4" max="4" width="9.796875" style="76" customWidth="1"/>
    <col min="5" max="5" width="34.46484375" style="76" bestFit="1" customWidth="1"/>
    <col min="6" max="6" width="20.53125" style="76" customWidth="1"/>
    <col min="7" max="7" width="19.796875" style="76" customWidth="1"/>
    <col min="8" max="8" width="8.796875" style="76" customWidth="1"/>
    <col min="9" max="16384" width="14.46484375" style="76"/>
  </cols>
  <sheetData>
    <row r="1" spans="1:7" ht="14.25">
      <c r="A1" s="164"/>
      <c r="B1" s="164"/>
      <c r="C1" s="164"/>
      <c r="D1" s="164"/>
      <c r="E1" s="164"/>
      <c r="F1" s="164"/>
      <c r="G1" s="164"/>
    </row>
    <row r="2" spans="1:7" ht="18">
      <c r="A2" s="132" t="s">
        <v>149</v>
      </c>
      <c r="B2" s="129"/>
      <c r="C2" s="125"/>
      <c r="D2" s="125"/>
      <c r="E2" s="125"/>
      <c r="F2" s="127"/>
      <c r="G2" s="127"/>
    </row>
    <row r="3" spans="1:7" ht="15" customHeight="1">
      <c r="A3" s="126" t="s">
        <v>1</v>
      </c>
      <c r="B3" s="131"/>
      <c r="C3" s="127"/>
      <c r="D3" s="127"/>
      <c r="E3" s="127"/>
      <c r="F3" s="127"/>
      <c r="G3" s="127"/>
    </row>
    <row r="4" spans="1:7" ht="15" customHeight="1">
      <c r="A4" s="130" t="s">
        <v>2</v>
      </c>
      <c r="B4" s="129"/>
      <c r="C4" s="129"/>
      <c r="D4" s="129"/>
      <c r="E4" s="129"/>
      <c r="F4" s="127"/>
      <c r="G4" s="127">
        <v>1.1000000000000001</v>
      </c>
    </row>
    <row r="5" spans="1:7" ht="14.25">
      <c r="A5" s="128"/>
      <c r="B5" s="128"/>
      <c r="C5" s="128"/>
      <c r="D5" s="128"/>
      <c r="E5" s="128"/>
      <c r="F5" s="127"/>
      <c r="G5" s="127"/>
    </row>
    <row r="6" spans="1:7" ht="16.149999999999999" thickBot="1">
      <c r="A6" s="127"/>
      <c r="B6" s="126"/>
      <c r="C6" s="125"/>
      <c r="D6" s="125"/>
      <c r="E6" s="163" t="s">
        <v>150</v>
      </c>
      <c r="F6" s="129"/>
      <c r="G6" s="162"/>
    </row>
    <row r="7" spans="1:7" ht="14.25">
      <c r="A7" s="161" t="s">
        <v>3</v>
      </c>
      <c r="B7" s="160" t="s">
        <v>4</v>
      </c>
      <c r="C7" s="159" t="s">
        <v>6</v>
      </c>
      <c r="D7" s="158"/>
      <c r="E7" s="157" t="s">
        <v>7</v>
      </c>
      <c r="F7" s="156" t="s">
        <v>116</v>
      </c>
      <c r="G7" s="155" t="s">
        <v>117</v>
      </c>
    </row>
    <row r="8" spans="1:7" ht="14.25">
      <c r="A8" s="153" t="s">
        <v>10</v>
      </c>
      <c r="B8" s="154" t="s">
        <v>11</v>
      </c>
      <c r="C8" s="153">
        <v>1</v>
      </c>
      <c r="D8" s="153" t="s">
        <v>13</v>
      </c>
      <c r="E8" s="153"/>
      <c r="F8" s="152"/>
      <c r="G8" s="152">
        <f>SUM(G9:G12)</f>
        <v>4400000</v>
      </c>
    </row>
    <row r="9" spans="1:7" ht="14.25">
      <c r="A9" s="92">
        <v>1</v>
      </c>
      <c r="B9" s="93" t="s">
        <v>14</v>
      </c>
      <c r="C9" s="92">
        <v>13200</v>
      </c>
      <c r="D9" s="92" t="s">
        <v>15</v>
      </c>
      <c r="E9" s="92"/>
      <c r="F9" s="107">
        <v>80.300000000000011</v>
      </c>
      <c r="G9" s="107">
        <f>F9*C9</f>
        <v>1059960.0000000002</v>
      </c>
    </row>
    <row r="10" spans="1:7" ht="14.25">
      <c r="A10" s="92">
        <v>2</v>
      </c>
      <c r="B10" s="93" t="s">
        <v>17</v>
      </c>
      <c r="C10" s="92">
        <v>13200</v>
      </c>
      <c r="D10" s="92" t="s">
        <v>15</v>
      </c>
      <c r="E10" s="92"/>
      <c r="F10" s="107">
        <v>80.300000000000011</v>
      </c>
      <c r="G10" s="107">
        <f>F10*C10</f>
        <v>1059960.0000000002</v>
      </c>
    </row>
    <row r="11" spans="1:7" ht="14.25">
      <c r="A11" s="92">
        <v>3</v>
      </c>
      <c r="B11" s="93" t="s">
        <v>18</v>
      </c>
      <c r="C11" s="92">
        <v>1</v>
      </c>
      <c r="D11" s="92" t="s">
        <v>13</v>
      </c>
      <c r="E11" s="92"/>
      <c r="F11" s="107">
        <v>2750000</v>
      </c>
      <c r="G11" s="107">
        <f>F11*C11</f>
        <v>2750000</v>
      </c>
    </row>
    <row r="12" spans="1:7" ht="14.25">
      <c r="A12" s="92"/>
      <c r="B12" s="117" t="s">
        <v>19</v>
      </c>
      <c r="C12" s="116">
        <v>1</v>
      </c>
      <c r="D12" s="116"/>
      <c r="E12" s="116"/>
      <c r="F12" s="115">
        <v>-469920.00000000006</v>
      </c>
      <c r="G12" s="115">
        <f>F12*C12</f>
        <v>-469920.00000000006</v>
      </c>
    </row>
    <row r="13" spans="1:7" ht="14.25">
      <c r="A13" s="147" t="s">
        <v>20</v>
      </c>
      <c r="B13" s="150" t="s">
        <v>118</v>
      </c>
      <c r="C13" s="145">
        <v>1</v>
      </c>
      <c r="D13" s="145" t="s">
        <v>71</v>
      </c>
      <c r="E13" s="145"/>
      <c r="F13" s="144"/>
      <c r="G13" s="143">
        <f>SUM(G14:G15)</f>
        <v>1265000</v>
      </c>
    </row>
    <row r="14" spans="1:7" ht="14.25">
      <c r="A14" s="92">
        <v>1</v>
      </c>
      <c r="B14" s="94" t="s">
        <v>119</v>
      </c>
      <c r="C14" s="92">
        <v>1</v>
      </c>
      <c r="D14" s="92" t="s">
        <v>120</v>
      </c>
      <c r="E14" s="92" t="s">
        <v>16</v>
      </c>
      <c r="F14" s="107">
        <v>275000</v>
      </c>
      <c r="G14" s="107">
        <f>F14*C14</f>
        <v>275000</v>
      </c>
    </row>
    <row r="15" spans="1:7" ht="14.25">
      <c r="A15" s="92">
        <v>2</v>
      </c>
      <c r="B15" s="93" t="s">
        <v>121</v>
      </c>
      <c r="C15" s="92">
        <v>1</v>
      </c>
      <c r="D15" s="92" t="s">
        <v>71</v>
      </c>
      <c r="E15" s="92" t="s">
        <v>16</v>
      </c>
      <c r="F15" s="107">
        <v>990000.00000000012</v>
      </c>
      <c r="G15" s="107">
        <f>F15*C15</f>
        <v>990000.00000000012</v>
      </c>
    </row>
    <row r="16" spans="1:7" ht="14.25">
      <c r="A16" s="92"/>
      <c r="B16" s="93"/>
      <c r="C16" s="92" t="s">
        <v>144</v>
      </c>
      <c r="D16" s="92"/>
      <c r="E16" s="92"/>
      <c r="F16" s="107"/>
      <c r="G16" s="107"/>
    </row>
    <row r="17" spans="1:8" ht="14.25">
      <c r="A17" s="147" t="s">
        <v>47</v>
      </c>
      <c r="B17" s="150" t="s">
        <v>61</v>
      </c>
      <c r="C17" s="145" t="s">
        <v>144</v>
      </c>
      <c r="D17" s="145"/>
      <c r="E17" s="145"/>
      <c r="F17" s="144"/>
      <c r="G17" s="143">
        <f>SUM(G18)</f>
        <v>2200000</v>
      </c>
    </row>
    <row r="18" spans="1:8" ht="14.25">
      <c r="A18" s="92">
        <v>1</v>
      </c>
      <c r="B18" s="93" t="s">
        <v>151</v>
      </c>
      <c r="C18" s="92">
        <v>1</v>
      </c>
      <c r="D18" s="92" t="s">
        <v>71</v>
      </c>
      <c r="E18" s="92" t="s">
        <v>123</v>
      </c>
      <c r="F18" s="107">
        <v>2200000</v>
      </c>
      <c r="G18" s="107">
        <f>F18*C18</f>
        <v>2200000</v>
      </c>
    </row>
    <row r="19" spans="1:8" ht="15.75" customHeight="1">
      <c r="A19" s="149"/>
      <c r="B19" s="148"/>
      <c r="C19" s="92" t="s">
        <v>144</v>
      </c>
      <c r="D19" s="92"/>
      <c r="E19" s="92"/>
      <c r="F19" s="107"/>
      <c r="G19" s="107"/>
    </row>
    <row r="20" spans="1:8" ht="15.75" customHeight="1">
      <c r="A20" s="147" t="s">
        <v>54</v>
      </c>
      <c r="B20" s="146" t="s">
        <v>73</v>
      </c>
      <c r="C20" s="145" t="s">
        <v>144</v>
      </c>
      <c r="D20" s="145"/>
      <c r="E20" s="145"/>
      <c r="F20" s="144"/>
      <c r="G20" s="143">
        <f>SUM(G21:G25)</f>
        <v>4705250</v>
      </c>
    </row>
    <row r="21" spans="1:8" ht="14.25">
      <c r="A21" s="92">
        <v>1</v>
      </c>
      <c r="B21" s="93" t="s">
        <v>152</v>
      </c>
      <c r="C21" s="92">
        <v>15</v>
      </c>
      <c r="D21" s="92" t="s">
        <v>125</v>
      </c>
      <c r="E21" s="142" t="s">
        <v>76</v>
      </c>
      <c r="F21" s="107">
        <v>143000</v>
      </c>
      <c r="G21" s="107">
        <f>F21*C21</f>
        <v>2145000</v>
      </c>
    </row>
    <row r="22" spans="1:8" ht="23.55" customHeight="1">
      <c r="A22" s="92">
        <v>2</v>
      </c>
      <c r="B22" s="93" t="s">
        <v>147</v>
      </c>
      <c r="C22" s="92">
        <v>5</v>
      </c>
      <c r="D22" s="92" t="s">
        <v>125</v>
      </c>
      <c r="E22" s="142" t="s">
        <v>76</v>
      </c>
      <c r="F22" s="107">
        <v>67650</v>
      </c>
      <c r="G22" s="107">
        <f>F22*C22</f>
        <v>338250</v>
      </c>
    </row>
    <row r="23" spans="1:8" ht="34.450000000000003" customHeight="1">
      <c r="A23" s="92">
        <v>3</v>
      </c>
      <c r="B23" s="91" t="s">
        <v>127</v>
      </c>
      <c r="C23" s="92">
        <v>15</v>
      </c>
      <c r="D23" s="92" t="s">
        <v>125</v>
      </c>
      <c r="E23" s="142" t="s">
        <v>76</v>
      </c>
      <c r="F23" s="84">
        <v>41800</v>
      </c>
      <c r="G23" s="107">
        <f>F23*C23</f>
        <v>627000</v>
      </c>
    </row>
    <row r="24" spans="1:8" ht="15.75" customHeight="1">
      <c r="A24" s="92">
        <v>4</v>
      </c>
      <c r="B24" s="91" t="s">
        <v>65</v>
      </c>
      <c r="C24" s="88">
        <v>1</v>
      </c>
      <c r="D24" s="88" t="s">
        <v>53</v>
      </c>
      <c r="E24" s="88"/>
      <c r="F24" s="84">
        <v>1100000</v>
      </c>
      <c r="G24" s="107">
        <f>F24*C24</f>
        <v>1100000</v>
      </c>
    </row>
    <row r="25" spans="1:8" ht="15.75" customHeight="1">
      <c r="A25" s="92">
        <v>5</v>
      </c>
      <c r="B25" s="93" t="s">
        <v>128</v>
      </c>
      <c r="C25" s="92">
        <v>15</v>
      </c>
      <c r="D25" s="92" t="s">
        <v>125</v>
      </c>
      <c r="E25" s="92" t="s">
        <v>129</v>
      </c>
      <c r="F25" s="107">
        <v>33000</v>
      </c>
      <c r="G25" s="107">
        <f>F25*C25</f>
        <v>495000</v>
      </c>
    </row>
    <row r="26" spans="1:8" ht="15.75" customHeight="1">
      <c r="A26" s="127"/>
      <c r="B26" s="141"/>
      <c r="C26" s="140" t="s">
        <v>144</v>
      </c>
      <c r="D26" s="140"/>
      <c r="E26" s="140"/>
      <c r="F26" s="139"/>
      <c r="G26" s="139"/>
    </row>
    <row r="27" spans="1:8" ht="15.75" customHeight="1">
      <c r="A27" s="172" t="s">
        <v>60</v>
      </c>
      <c r="B27" s="171" t="s">
        <v>88</v>
      </c>
      <c r="C27" s="170">
        <v>1</v>
      </c>
      <c r="D27" s="170" t="s">
        <v>13</v>
      </c>
      <c r="E27" s="170"/>
      <c r="F27" s="169">
        <v>550000</v>
      </c>
      <c r="G27" s="168">
        <f>F27*C27</f>
        <v>550000</v>
      </c>
    </row>
    <row r="28" spans="1:8" ht="15.75" customHeight="1">
      <c r="A28" s="167"/>
      <c r="B28" s="166"/>
      <c r="C28" s="88"/>
      <c r="D28" s="88"/>
      <c r="E28" s="88"/>
      <c r="F28" s="84"/>
      <c r="G28" s="84"/>
    </row>
    <row r="29" spans="1:8" ht="15.75" customHeight="1">
      <c r="A29" s="100" t="s">
        <v>67</v>
      </c>
      <c r="B29" s="99" t="s">
        <v>130</v>
      </c>
      <c r="C29" s="98"/>
      <c r="D29" s="98"/>
      <c r="E29" s="97"/>
      <c r="F29" s="96"/>
      <c r="G29" s="95">
        <f>SUM(G30:G35)</f>
        <v>520025</v>
      </c>
      <c r="H29" s="127"/>
    </row>
    <row r="30" spans="1:8" ht="15.75" customHeight="1">
      <c r="A30" s="88">
        <v>1</v>
      </c>
      <c r="B30" s="94" t="s">
        <v>131</v>
      </c>
      <c r="C30" s="92" t="s">
        <v>132</v>
      </c>
      <c r="D30" s="92" t="s">
        <v>30</v>
      </c>
      <c r="E30" s="92" t="s">
        <v>133</v>
      </c>
      <c r="F30" s="84">
        <v>76450</v>
      </c>
      <c r="G30" s="84">
        <v>48125.000000000007</v>
      </c>
      <c r="H30" s="127"/>
    </row>
    <row r="31" spans="1:8" ht="33.700000000000003" customHeight="1">
      <c r="A31" s="88">
        <v>2</v>
      </c>
      <c r="B31" s="89" t="s">
        <v>134</v>
      </c>
      <c r="C31" s="88" t="s">
        <v>135</v>
      </c>
      <c r="D31" s="88" t="s">
        <v>26</v>
      </c>
      <c r="E31" s="88" t="s">
        <v>133</v>
      </c>
      <c r="F31" s="84">
        <v>1870000.0000000002</v>
      </c>
      <c r="G31" s="84">
        <v>149600</v>
      </c>
      <c r="H31" s="127"/>
    </row>
    <row r="32" spans="1:8" ht="46.8" customHeight="1">
      <c r="A32" s="88">
        <v>3</v>
      </c>
      <c r="B32" s="89" t="s">
        <v>136</v>
      </c>
      <c r="C32" s="88" t="s">
        <v>137</v>
      </c>
      <c r="D32" s="88" t="s">
        <v>30</v>
      </c>
      <c r="E32" s="88" t="s">
        <v>133</v>
      </c>
      <c r="F32" s="84">
        <v>321310</v>
      </c>
      <c r="G32" s="84">
        <v>122100.00000000001</v>
      </c>
    </row>
    <row r="33" spans="1:7" ht="43.8" customHeight="1">
      <c r="A33" s="88">
        <v>4</v>
      </c>
      <c r="B33" s="89" t="s">
        <v>138</v>
      </c>
      <c r="C33" s="88" t="s">
        <v>139</v>
      </c>
      <c r="D33" s="90" t="s">
        <v>40</v>
      </c>
      <c r="E33" s="90" t="s">
        <v>133</v>
      </c>
      <c r="F33" s="84">
        <v>25740.000000000004</v>
      </c>
      <c r="G33" s="84">
        <v>40700</v>
      </c>
    </row>
    <row r="34" spans="1:7" ht="27.7" customHeight="1">
      <c r="A34" s="88">
        <v>5</v>
      </c>
      <c r="B34" s="89" t="s">
        <v>140</v>
      </c>
      <c r="C34" s="88">
        <v>1</v>
      </c>
      <c r="D34" s="88" t="s">
        <v>30</v>
      </c>
      <c r="E34" s="88" t="s">
        <v>133</v>
      </c>
      <c r="F34" s="84">
        <v>69300</v>
      </c>
      <c r="G34" s="84">
        <v>69300</v>
      </c>
    </row>
    <row r="35" spans="1:7" ht="35.549999999999997" customHeight="1">
      <c r="A35" s="88">
        <v>6</v>
      </c>
      <c r="B35" s="89" t="s">
        <v>141</v>
      </c>
      <c r="C35" s="88">
        <v>1</v>
      </c>
      <c r="D35" s="88" t="s">
        <v>30</v>
      </c>
      <c r="E35" s="88" t="s">
        <v>133</v>
      </c>
      <c r="F35" s="84">
        <v>90200.000000000015</v>
      </c>
      <c r="G35" s="84">
        <v>90200.000000000015</v>
      </c>
    </row>
    <row r="36" spans="1:7" ht="15.75" customHeight="1">
      <c r="A36" s="82" t="s">
        <v>89</v>
      </c>
      <c r="B36" s="81"/>
      <c r="C36" s="80"/>
      <c r="D36" s="80"/>
      <c r="E36" s="80"/>
      <c r="F36" s="79"/>
      <c r="G36" s="78">
        <f>SUM(G8,G13,G17,G20,G27,G29)</f>
        <v>13640275</v>
      </c>
    </row>
    <row r="37" spans="1:7" ht="15.75" customHeight="1">
      <c r="G37" s="27"/>
    </row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5">
    <mergeCell ref="B36:F36"/>
    <mergeCell ref="C7:D7"/>
    <mergeCell ref="A2:B2"/>
    <mergeCell ref="A4:E4"/>
    <mergeCell ref="E6:G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DC20 (NON JAVA)</vt:lpstr>
      <vt:lpstr>DC30 (NON JAVA)</vt:lpstr>
      <vt:lpstr>DC60 (NON JAVA)</vt:lpstr>
      <vt:lpstr>DC20</vt:lpstr>
      <vt:lpstr>DC30</vt:lpstr>
      <vt:lpstr>DC60</vt:lpstr>
      <vt:lpstr>6S1P</vt:lpstr>
      <vt:lpstr>12S1P</vt:lpstr>
      <vt:lpstr>12S3P</vt:lpstr>
      <vt:lpstr>6S1P (NON JAVA)</vt:lpstr>
      <vt:lpstr>12S1P (NON JAVA)</vt:lpstr>
      <vt:lpstr>12S3P (NON JAVA)</vt:lpstr>
      <vt:lpstr>'DC20'!Print_Area</vt:lpstr>
      <vt:lpstr>'DC20 (NON JAVA)'!Print_Area</vt:lpstr>
      <vt:lpstr>'DC30'!Print_Area</vt:lpstr>
      <vt:lpstr>'DC30 (NON JAVA)'!Print_Area</vt:lpstr>
      <vt:lpstr>'DC60'!Print_Area</vt:lpstr>
      <vt:lpstr>'DC60 (NON JAVA)'!Print_Area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Hartono Darmawan</dc:creator>
  <cp:lastModifiedBy>Hartono Darmawan</cp:lastModifiedBy>
  <dcterms:created xsi:type="dcterms:W3CDTF">2026-09-02T13:19:50Z</dcterms:created>
  <dcterms:modified xsi:type="dcterms:W3CDTF">2026-09-03T09:25:38Z</dcterms:modified>
</cp:coreProperties>
</file>