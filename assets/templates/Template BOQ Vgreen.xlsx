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rtono\CLX\BOQ\Master BOQ\"/>
    </mc:Choice>
  </mc:AlternateContent>
  <xr:revisionPtr revIDLastSave="0" documentId="13_ncr:1_{C807C9D4-6CD7-4A1B-8B78-9F04C921C79C}" xr6:coauthVersionLast="47" xr6:coauthVersionMax="47" xr10:uidLastSave="{00000000-0000-0000-0000-000000000000}"/>
  <bookViews>
    <workbookView xWindow="-98" yWindow="-98" windowWidth="19396" windowHeight="11475" activeTab="3" xr2:uid="{C0E5F3B7-FC94-493D-BFED-3C836267034D}"/>
  </bookViews>
  <sheets>
    <sheet name="DC20" sheetId="1" r:id="rId1"/>
    <sheet name="DC30" sheetId="2" r:id="rId2"/>
    <sheet name="DC60" sheetId="6" r:id="rId3"/>
    <sheet name="DC120" sheetId="4" r:id="rId4"/>
    <sheet name="6S1P" sheetId="7" r:id="rId5"/>
    <sheet name="12S1P" sheetId="8" r:id="rId6"/>
  </sheets>
  <definedNames>
    <definedName name="_xlnm.Print_Area" localSheetId="3">'DC120'!$A$1:$J$56</definedName>
    <definedName name="_xlnm.Print_Area" localSheetId="0">'DC20'!$A$1:$J$56</definedName>
    <definedName name="_xlnm.Print_Area" localSheetId="1">'DC30'!$A$1:$J$56</definedName>
    <definedName name="_xlnm.Print_Area" localSheetId="2">'DC60'!$A$1:$J$56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3" i="7" l="1"/>
  <c r="G40" i="8"/>
  <c r="G38" i="8"/>
  <c r="G37" i="8"/>
  <c r="G36" i="8"/>
  <c r="G35" i="8"/>
  <c r="G34" i="8"/>
  <c r="G33" i="8"/>
  <c r="G31" i="8" s="1"/>
  <c r="G32" i="8"/>
  <c r="G29" i="8"/>
  <c r="G28" i="8"/>
  <c r="G27" i="8"/>
  <c r="G26" i="8"/>
  <c r="G25" i="8"/>
  <c r="G24" i="8"/>
  <c r="G23" i="8"/>
  <c r="G22" i="8"/>
  <c r="G21" i="8"/>
  <c r="G20" i="8"/>
  <c r="G19" i="8"/>
  <c r="G18" i="8"/>
  <c r="G16" i="8" s="1"/>
  <c r="G17" i="8"/>
  <c r="G14" i="8"/>
  <c r="G13" i="8"/>
  <c r="G12" i="8" s="1"/>
  <c r="G10" i="8"/>
  <c r="G9" i="8"/>
  <c r="G8" i="8"/>
  <c r="G7" i="8"/>
  <c r="G41" i="7"/>
  <c r="G39" i="7"/>
  <c r="G38" i="7"/>
  <c r="G37" i="7"/>
  <c r="G36" i="7"/>
  <c r="G35" i="7"/>
  <c r="G34" i="7"/>
  <c r="G33" i="7"/>
  <c r="G32" i="7" s="1"/>
  <c r="G30" i="7"/>
  <c r="G29" i="7"/>
  <c r="G28" i="7"/>
  <c r="G27" i="7"/>
  <c r="G26" i="7"/>
  <c r="G25" i="7"/>
  <c r="G24" i="7"/>
  <c r="G23" i="7"/>
  <c r="G22" i="7"/>
  <c r="G17" i="7" s="1"/>
  <c r="G21" i="7"/>
  <c r="G20" i="7"/>
  <c r="G19" i="7"/>
  <c r="G18" i="7"/>
  <c r="G15" i="7"/>
  <c r="G14" i="7"/>
  <c r="G13" i="7" s="1"/>
  <c r="G11" i="7"/>
  <c r="G10" i="7"/>
  <c r="G9" i="7"/>
  <c r="G8" i="7" s="1"/>
  <c r="N43" i="6"/>
  <c r="O43" i="6" s="1"/>
  <c r="G44" i="6"/>
  <c r="G43" i="6"/>
  <c r="AL52" i="6"/>
  <c r="AM52" i="6" s="1"/>
  <c r="AD52" i="6"/>
  <c r="AE52" i="6"/>
  <c r="V52" i="6"/>
  <c r="W52" i="6" s="1"/>
  <c r="N52" i="6"/>
  <c r="O52" i="6" s="1"/>
  <c r="G52" i="6"/>
  <c r="AL50" i="6"/>
  <c r="AM50" i="6" s="1"/>
  <c r="AD50" i="6"/>
  <c r="AE50" i="6" s="1"/>
  <c r="V50" i="6"/>
  <c r="W50" i="6" s="1"/>
  <c r="N50" i="6"/>
  <c r="O50" i="6"/>
  <c r="G50" i="6"/>
  <c r="AL49" i="6"/>
  <c r="AM49" i="6" s="1"/>
  <c r="AD49" i="6"/>
  <c r="AE49" i="6"/>
  <c r="V49" i="6"/>
  <c r="W49" i="6"/>
  <c r="N49" i="6"/>
  <c r="O49" i="6" s="1"/>
  <c r="G49" i="6"/>
  <c r="AL48" i="6"/>
  <c r="AM48" i="6" s="1"/>
  <c r="AD48" i="6"/>
  <c r="AE48" i="6" s="1"/>
  <c r="V48" i="6"/>
  <c r="W48" i="6" s="1"/>
  <c r="N48" i="6"/>
  <c r="O48" i="6" s="1"/>
  <c r="G48" i="6"/>
  <c r="AL47" i="6"/>
  <c r="AM47" i="6" s="1"/>
  <c r="AD47" i="6"/>
  <c r="AE47" i="6"/>
  <c r="V47" i="6"/>
  <c r="W47" i="6" s="1"/>
  <c r="N47" i="6"/>
  <c r="O47" i="6"/>
  <c r="G47" i="6"/>
  <c r="AL46" i="6"/>
  <c r="AM46" i="6" s="1"/>
  <c r="AD46" i="6"/>
  <c r="AE46" i="6" s="1"/>
  <c r="V46" i="6"/>
  <c r="W46" i="6"/>
  <c r="N46" i="6"/>
  <c r="O46" i="6" s="1"/>
  <c r="G46" i="6"/>
  <c r="F45" i="6"/>
  <c r="AD45" i="6" s="1"/>
  <c r="AE45" i="6" s="1"/>
  <c r="AL40" i="6"/>
  <c r="AM40" i="6" s="1"/>
  <c r="AD40" i="6"/>
  <c r="AE40" i="6" s="1"/>
  <c r="V40" i="6"/>
  <c r="W40" i="6" s="1"/>
  <c r="N40" i="6"/>
  <c r="O40" i="6" s="1"/>
  <c r="G40" i="6"/>
  <c r="AL39" i="6"/>
  <c r="AM39" i="6" s="1"/>
  <c r="AD39" i="6"/>
  <c r="AE39" i="6"/>
  <c r="V39" i="6"/>
  <c r="W39" i="6" s="1"/>
  <c r="N39" i="6"/>
  <c r="O39" i="6" s="1"/>
  <c r="G39" i="6"/>
  <c r="AL38" i="6"/>
  <c r="AM38" i="6" s="1"/>
  <c r="AD38" i="6"/>
  <c r="AE38" i="6"/>
  <c r="V38" i="6"/>
  <c r="W38" i="6" s="1"/>
  <c r="N38" i="6"/>
  <c r="O38" i="6"/>
  <c r="G38" i="6"/>
  <c r="AL37" i="6"/>
  <c r="AM37" i="6" s="1"/>
  <c r="AD37" i="6"/>
  <c r="AE37" i="6"/>
  <c r="V37" i="6"/>
  <c r="W37" i="6" s="1"/>
  <c r="N37" i="6"/>
  <c r="O37" i="6" s="1"/>
  <c r="G37" i="6"/>
  <c r="AL36" i="6"/>
  <c r="AM36" i="6"/>
  <c r="AD36" i="6"/>
  <c r="AE36" i="6"/>
  <c r="V36" i="6"/>
  <c r="W36" i="6"/>
  <c r="N36" i="6"/>
  <c r="O36" i="6" s="1"/>
  <c r="G36" i="6"/>
  <c r="AL35" i="6"/>
  <c r="AM35" i="6" s="1"/>
  <c r="AD35" i="6"/>
  <c r="AE35" i="6"/>
  <c r="V35" i="6"/>
  <c r="W35" i="6"/>
  <c r="N35" i="6"/>
  <c r="O35" i="6" s="1"/>
  <c r="G35" i="6"/>
  <c r="AL34" i="6"/>
  <c r="AM34" i="6" s="1"/>
  <c r="AD34" i="6"/>
  <c r="AE34" i="6"/>
  <c r="V34" i="6"/>
  <c r="W34" i="6" s="1"/>
  <c r="N34" i="6"/>
  <c r="O34" i="6" s="1"/>
  <c r="G34" i="6"/>
  <c r="AL33" i="6"/>
  <c r="AM33" i="6"/>
  <c r="AD33" i="6"/>
  <c r="AE33" i="6" s="1"/>
  <c r="V33" i="6"/>
  <c r="W33" i="6"/>
  <c r="N33" i="6"/>
  <c r="O33" i="6" s="1"/>
  <c r="G33" i="6"/>
  <c r="AL32" i="6"/>
  <c r="AM32" i="6" s="1"/>
  <c r="AD32" i="6"/>
  <c r="AE32" i="6" s="1"/>
  <c r="V32" i="6"/>
  <c r="W32" i="6"/>
  <c r="N32" i="6"/>
  <c r="O32" i="6" s="1"/>
  <c r="G32" i="6"/>
  <c r="AL31" i="6"/>
  <c r="AM31" i="6" s="1"/>
  <c r="AD31" i="6"/>
  <c r="AE31" i="6"/>
  <c r="V31" i="6"/>
  <c r="W31" i="6" s="1"/>
  <c r="N31" i="6"/>
  <c r="O31" i="6" s="1"/>
  <c r="G31" i="6"/>
  <c r="AL30" i="6"/>
  <c r="AM30" i="6" s="1"/>
  <c r="AD30" i="6"/>
  <c r="AE30" i="6" s="1"/>
  <c r="V30" i="6"/>
  <c r="W30" i="6" s="1"/>
  <c r="N30" i="6"/>
  <c r="O30" i="6"/>
  <c r="G30" i="6"/>
  <c r="AL29" i="6"/>
  <c r="AM29" i="6" s="1"/>
  <c r="AD29" i="6"/>
  <c r="AE29" i="6" s="1"/>
  <c r="V29" i="6"/>
  <c r="W29" i="6"/>
  <c r="N29" i="6"/>
  <c r="O29" i="6" s="1"/>
  <c r="G29" i="6"/>
  <c r="AL28" i="6"/>
  <c r="AM28" i="6" s="1"/>
  <c r="AD28" i="6"/>
  <c r="AE28" i="6" s="1"/>
  <c r="V28" i="6"/>
  <c r="W28" i="6" s="1"/>
  <c r="N28" i="6"/>
  <c r="O28" i="6" s="1"/>
  <c r="G28" i="6"/>
  <c r="AL27" i="6"/>
  <c r="AM27" i="6"/>
  <c r="AD27" i="6"/>
  <c r="AE27" i="6"/>
  <c r="V27" i="6"/>
  <c r="W27" i="6"/>
  <c r="N27" i="6"/>
  <c r="O27" i="6" s="1"/>
  <c r="G27" i="6"/>
  <c r="AL24" i="6"/>
  <c r="AM24" i="6" s="1"/>
  <c r="AD24" i="6"/>
  <c r="AE24" i="6" s="1"/>
  <c r="V24" i="6"/>
  <c r="W24" i="6" s="1"/>
  <c r="N24" i="6"/>
  <c r="O24" i="6" s="1"/>
  <c r="G24" i="6"/>
  <c r="AL23" i="6"/>
  <c r="AM23" i="6" s="1"/>
  <c r="AD23" i="6"/>
  <c r="AE23" i="6"/>
  <c r="V23" i="6"/>
  <c r="W23" i="6"/>
  <c r="N23" i="6"/>
  <c r="O23" i="6" s="1"/>
  <c r="G23" i="6"/>
  <c r="AL22" i="6"/>
  <c r="AM22" i="6" s="1"/>
  <c r="AD22" i="6"/>
  <c r="AE22" i="6" s="1"/>
  <c r="V22" i="6"/>
  <c r="W22" i="6" s="1"/>
  <c r="N22" i="6"/>
  <c r="O22" i="6"/>
  <c r="G22" i="6"/>
  <c r="AL21" i="6"/>
  <c r="AM21" i="6" s="1"/>
  <c r="AD21" i="6"/>
  <c r="AE21" i="6"/>
  <c r="V21" i="6"/>
  <c r="W21" i="6" s="1"/>
  <c r="N21" i="6"/>
  <c r="O21" i="6" s="1"/>
  <c r="G21" i="6"/>
  <c r="AL18" i="6"/>
  <c r="AM18" i="6" s="1"/>
  <c r="AD18" i="6"/>
  <c r="AE18" i="6"/>
  <c r="V18" i="6"/>
  <c r="W18" i="6"/>
  <c r="N18" i="6"/>
  <c r="O18" i="6" s="1"/>
  <c r="G18" i="6"/>
  <c r="AL17" i="6"/>
  <c r="AM17" i="6"/>
  <c r="AD17" i="6"/>
  <c r="AE17" i="6"/>
  <c r="V17" i="6"/>
  <c r="W17" i="6" s="1"/>
  <c r="N17" i="6"/>
  <c r="O17" i="6"/>
  <c r="G17" i="6"/>
  <c r="AL16" i="6"/>
  <c r="AM16" i="6" s="1"/>
  <c r="AD16" i="6"/>
  <c r="AE16" i="6" s="1"/>
  <c r="V16" i="6"/>
  <c r="W16" i="6" s="1"/>
  <c r="N16" i="6"/>
  <c r="O16" i="6"/>
  <c r="G16" i="6"/>
  <c r="AL15" i="6"/>
  <c r="AM15" i="6"/>
  <c r="AD15" i="6"/>
  <c r="AE15" i="6" s="1"/>
  <c r="V15" i="6"/>
  <c r="W15" i="6" s="1"/>
  <c r="N15" i="6"/>
  <c r="O15" i="6"/>
  <c r="G15" i="6"/>
  <c r="AL14" i="6"/>
  <c r="AM14" i="6" s="1"/>
  <c r="AD14" i="6"/>
  <c r="AE14" i="6" s="1"/>
  <c r="V14" i="6"/>
  <c r="W14" i="6" s="1"/>
  <c r="N14" i="6"/>
  <c r="O14" i="6" s="1"/>
  <c r="G14" i="6"/>
  <c r="AM11" i="6"/>
  <c r="AE11" i="6"/>
  <c r="W11" i="6"/>
  <c r="O11" i="6"/>
  <c r="G11" i="6"/>
  <c r="AM10" i="6"/>
  <c r="AE10" i="6"/>
  <c r="W10" i="6"/>
  <c r="O10" i="6"/>
  <c r="G10" i="6"/>
  <c r="AM9" i="6"/>
  <c r="AE9" i="6"/>
  <c r="W9" i="6"/>
  <c r="O9" i="6"/>
  <c r="G9" i="6"/>
  <c r="N46" i="4"/>
  <c r="O46" i="4" s="1"/>
  <c r="N47" i="4"/>
  <c r="O47" i="4" s="1"/>
  <c r="N48" i="4"/>
  <c r="O48" i="4" s="1"/>
  <c r="N49" i="4"/>
  <c r="O49" i="4" s="1"/>
  <c r="N50" i="4"/>
  <c r="O50" i="4" s="1"/>
  <c r="F44" i="4"/>
  <c r="AD44" i="4" s="1"/>
  <c r="AE44" i="4" s="1"/>
  <c r="F43" i="4"/>
  <c r="AL43" i="4" s="1"/>
  <c r="AM43" i="4" s="1"/>
  <c r="AL43" i="6"/>
  <c r="AM43" i="6" s="1"/>
  <c r="AD43" i="6"/>
  <c r="AE43" i="6"/>
  <c r="V43" i="6"/>
  <c r="W43" i="6" s="1"/>
  <c r="AL44" i="6"/>
  <c r="AM44" i="6"/>
  <c r="AD44" i="6"/>
  <c r="AE44" i="6"/>
  <c r="V44" i="6"/>
  <c r="W44" i="6" s="1"/>
  <c r="N44" i="6"/>
  <c r="O44" i="6" s="1"/>
  <c r="N9" i="4"/>
  <c r="V9" i="4" s="1"/>
  <c r="F29" i="4"/>
  <c r="V29" i="4" s="1"/>
  <c r="W29" i="4" s="1"/>
  <c r="AL52" i="4"/>
  <c r="AM52" i="4" s="1"/>
  <c r="AL50" i="4"/>
  <c r="AM50" i="4" s="1"/>
  <c r="AL49" i="4"/>
  <c r="AM49" i="4" s="1"/>
  <c r="AL48" i="4"/>
  <c r="AM48" i="4" s="1"/>
  <c r="AL47" i="4"/>
  <c r="AM47" i="4" s="1"/>
  <c r="AL46" i="4"/>
  <c r="AM46" i="4"/>
  <c r="AL40" i="4"/>
  <c r="AM40" i="4" s="1"/>
  <c r="AL39" i="4"/>
  <c r="AM39" i="4" s="1"/>
  <c r="AL38" i="4"/>
  <c r="AM38" i="4" s="1"/>
  <c r="AL37" i="4"/>
  <c r="AM37" i="4" s="1"/>
  <c r="AL36" i="4"/>
  <c r="AM36" i="4" s="1"/>
  <c r="AL35" i="4"/>
  <c r="AM35" i="4" s="1"/>
  <c r="AL34" i="4"/>
  <c r="AM34" i="4"/>
  <c r="AL33" i="4"/>
  <c r="AM33" i="4"/>
  <c r="AL32" i="4"/>
  <c r="AM32" i="4" s="1"/>
  <c r="AL31" i="4"/>
  <c r="AM31" i="4"/>
  <c r="AL30" i="4"/>
  <c r="AM30" i="4" s="1"/>
  <c r="AL28" i="4"/>
  <c r="AM28" i="4" s="1"/>
  <c r="AL27" i="4"/>
  <c r="AM27" i="4" s="1"/>
  <c r="AL24" i="4"/>
  <c r="AM24" i="4" s="1"/>
  <c r="AL23" i="4"/>
  <c r="AM23" i="4" s="1"/>
  <c r="AL22" i="4"/>
  <c r="AM22" i="4" s="1"/>
  <c r="AL21" i="4"/>
  <c r="AM21" i="4" s="1"/>
  <c r="AL18" i="4"/>
  <c r="AM18" i="4" s="1"/>
  <c r="AL17" i="4"/>
  <c r="AM17" i="4" s="1"/>
  <c r="AL16" i="4"/>
  <c r="AM16" i="4" s="1"/>
  <c r="AL15" i="4"/>
  <c r="AL14" i="4"/>
  <c r="AM14" i="4" s="1"/>
  <c r="AM11" i="4"/>
  <c r="AM15" i="4"/>
  <c r="AD52" i="4"/>
  <c r="AE52" i="4" s="1"/>
  <c r="AD50" i="4"/>
  <c r="AE50" i="4" s="1"/>
  <c r="AD49" i="4"/>
  <c r="AE49" i="4" s="1"/>
  <c r="AD48" i="4"/>
  <c r="AE48" i="4" s="1"/>
  <c r="AD47" i="4"/>
  <c r="AE47" i="4" s="1"/>
  <c r="AD46" i="4"/>
  <c r="AE46" i="4" s="1"/>
  <c r="AD40" i="4"/>
  <c r="AE40" i="4" s="1"/>
  <c r="AD39" i="4"/>
  <c r="AE39" i="4" s="1"/>
  <c r="AD38" i="4"/>
  <c r="AE38" i="4" s="1"/>
  <c r="AD37" i="4"/>
  <c r="AE37" i="4" s="1"/>
  <c r="AD36" i="4"/>
  <c r="AE36" i="4" s="1"/>
  <c r="AD35" i="4"/>
  <c r="AE35" i="4" s="1"/>
  <c r="AD34" i="4"/>
  <c r="AE34" i="4"/>
  <c r="AD33" i="4"/>
  <c r="AE33" i="4" s="1"/>
  <c r="AD32" i="4"/>
  <c r="AE32" i="4"/>
  <c r="AD31" i="4"/>
  <c r="AE31" i="4" s="1"/>
  <c r="AD30" i="4"/>
  <c r="AE30" i="4" s="1"/>
  <c r="AD28" i="4"/>
  <c r="AE28" i="4" s="1"/>
  <c r="AD27" i="4"/>
  <c r="AE27" i="4" s="1"/>
  <c r="AD24" i="4"/>
  <c r="AE24" i="4" s="1"/>
  <c r="AD23" i="4"/>
  <c r="AE23" i="4" s="1"/>
  <c r="AD22" i="4"/>
  <c r="AE22" i="4" s="1"/>
  <c r="AD21" i="4"/>
  <c r="AE21" i="4" s="1"/>
  <c r="AD18" i="4"/>
  <c r="AE18" i="4" s="1"/>
  <c r="AD17" i="4"/>
  <c r="AE17" i="4"/>
  <c r="AD16" i="4"/>
  <c r="AE16" i="4" s="1"/>
  <c r="AD15" i="4"/>
  <c r="AE15" i="4" s="1"/>
  <c r="AD14" i="4"/>
  <c r="AE14" i="4" s="1"/>
  <c r="AE11" i="4"/>
  <c r="V52" i="4"/>
  <c r="W52" i="4" s="1"/>
  <c r="V50" i="4"/>
  <c r="W50" i="4"/>
  <c r="V49" i="4"/>
  <c r="W49" i="4" s="1"/>
  <c r="V48" i="4"/>
  <c r="W48" i="4" s="1"/>
  <c r="V47" i="4"/>
  <c r="W47" i="4" s="1"/>
  <c r="V46" i="4"/>
  <c r="W46" i="4" s="1"/>
  <c r="V40" i="4"/>
  <c r="W40" i="4"/>
  <c r="V39" i="4"/>
  <c r="W39" i="4" s="1"/>
  <c r="V38" i="4"/>
  <c r="W38" i="4"/>
  <c r="V37" i="4"/>
  <c r="W37" i="4" s="1"/>
  <c r="V36" i="4"/>
  <c r="W36" i="4" s="1"/>
  <c r="V35" i="4"/>
  <c r="W35" i="4" s="1"/>
  <c r="V34" i="4"/>
  <c r="W34" i="4"/>
  <c r="V33" i="4"/>
  <c r="W33" i="4"/>
  <c r="V32" i="4"/>
  <c r="W32" i="4" s="1"/>
  <c r="V31" i="4"/>
  <c r="W31" i="4" s="1"/>
  <c r="V30" i="4"/>
  <c r="W30" i="4" s="1"/>
  <c r="V28" i="4"/>
  <c r="W28" i="4" s="1"/>
  <c r="V27" i="4"/>
  <c r="W27" i="4" s="1"/>
  <c r="V24" i="4"/>
  <c r="W24" i="4"/>
  <c r="V23" i="4"/>
  <c r="W23" i="4" s="1"/>
  <c r="V22" i="4"/>
  <c r="W22" i="4" s="1"/>
  <c r="V21" i="4"/>
  <c r="V18" i="4"/>
  <c r="W18" i="4" s="1"/>
  <c r="V17" i="4"/>
  <c r="W17" i="4" s="1"/>
  <c r="V16" i="4"/>
  <c r="W16" i="4" s="1"/>
  <c r="V15" i="4"/>
  <c r="W15" i="4"/>
  <c r="V14" i="4"/>
  <c r="W14" i="4" s="1"/>
  <c r="W11" i="4"/>
  <c r="W21" i="4"/>
  <c r="N52" i="4"/>
  <c r="O52" i="4" s="1"/>
  <c r="N40" i="4"/>
  <c r="O40" i="4" s="1"/>
  <c r="N39" i="4"/>
  <c r="O39" i="4" s="1"/>
  <c r="N38" i="4"/>
  <c r="O38" i="4" s="1"/>
  <c r="N37" i="4"/>
  <c r="O37" i="4" s="1"/>
  <c r="N36" i="4"/>
  <c r="O36" i="4" s="1"/>
  <c r="N35" i="4"/>
  <c r="O35" i="4" s="1"/>
  <c r="N34" i="4"/>
  <c r="O34" i="4" s="1"/>
  <c r="N33" i="4"/>
  <c r="O33" i="4" s="1"/>
  <c r="N32" i="4"/>
  <c r="O32" i="4"/>
  <c r="N31" i="4"/>
  <c r="O31" i="4" s="1"/>
  <c r="N30" i="4"/>
  <c r="O30" i="4"/>
  <c r="N28" i="4"/>
  <c r="O28" i="4" s="1"/>
  <c r="N27" i="4"/>
  <c r="O27" i="4" s="1"/>
  <c r="N24" i="4"/>
  <c r="O24" i="4" s="1"/>
  <c r="N23" i="4"/>
  <c r="O23" i="4" s="1"/>
  <c r="N22" i="4"/>
  <c r="O22" i="4" s="1"/>
  <c r="N21" i="4"/>
  <c r="O21" i="4" s="1"/>
  <c r="N18" i="4"/>
  <c r="O18" i="4" s="1"/>
  <c r="N17" i="4"/>
  <c r="O17" i="4" s="1"/>
  <c r="N16" i="4"/>
  <c r="O16" i="4" s="1"/>
  <c r="N15" i="4"/>
  <c r="O15" i="4" s="1"/>
  <c r="N14" i="4"/>
  <c r="O14" i="4" s="1"/>
  <c r="O11" i="4"/>
  <c r="N52" i="2"/>
  <c r="O52" i="2" s="1"/>
  <c r="G52" i="2"/>
  <c r="AL52" i="2"/>
  <c r="AM52" i="2" s="1"/>
  <c r="AL50" i="2"/>
  <c r="AM50" i="2" s="1"/>
  <c r="AL49" i="2"/>
  <c r="AM49" i="2" s="1"/>
  <c r="AL48" i="2"/>
  <c r="AM48" i="2" s="1"/>
  <c r="AL47" i="2"/>
  <c r="AM47" i="2" s="1"/>
  <c r="AL46" i="2"/>
  <c r="AM46" i="2" s="1"/>
  <c r="AL45" i="2"/>
  <c r="AM45" i="2" s="1"/>
  <c r="AL44" i="2"/>
  <c r="AM44" i="2" s="1"/>
  <c r="AL43" i="2"/>
  <c r="AM43" i="2" s="1"/>
  <c r="AL40" i="2"/>
  <c r="AM40" i="2" s="1"/>
  <c r="AL39" i="2"/>
  <c r="AL38" i="2"/>
  <c r="AM38" i="2" s="1"/>
  <c r="AL37" i="2"/>
  <c r="AM37" i="2" s="1"/>
  <c r="AL36" i="2"/>
  <c r="AM36" i="2" s="1"/>
  <c r="AL35" i="2"/>
  <c r="AM35" i="2" s="1"/>
  <c r="AL34" i="2"/>
  <c r="AM34" i="2" s="1"/>
  <c r="AL33" i="2"/>
  <c r="AM33" i="2"/>
  <c r="AL32" i="2"/>
  <c r="AM32" i="2" s="1"/>
  <c r="AL31" i="2"/>
  <c r="AM31" i="2"/>
  <c r="AL30" i="2"/>
  <c r="AM30" i="2" s="1"/>
  <c r="AL29" i="2"/>
  <c r="AM29" i="2" s="1"/>
  <c r="AL28" i="2"/>
  <c r="AM28" i="2" s="1"/>
  <c r="AL27" i="2"/>
  <c r="AM27" i="2" s="1"/>
  <c r="AL24" i="2"/>
  <c r="AM24" i="2" s="1"/>
  <c r="AL23" i="2"/>
  <c r="AM23" i="2" s="1"/>
  <c r="AL22" i="2"/>
  <c r="AM22" i="2" s="1"/>
  <c r="AL21" i="2"/>
  <c r="AM21" i="2" s="1"/>
  <c r="AL18" i="2"/>
  <c r="AM18" i="2" s="1"/>
  <c r="AL17" i="2"/>
  <c r="AM17" i="2" s="1"/>
  <c r="AL16" i="2"/>
  <c r="AM16" i="2" s="1"/>
  <c r="AL15" i="2"/>
  <c r="AM15" i="2" s="1"/>
  <c r="AL14" i="2"/>
  <c r="AM14" i="2" s="1"/>
  <c r="AD52" i="2"/>
  <c r="AE52" i="2" s="1"/>
  <c r="AD50" i="2"/>
  <c r="AE50" i="2"/>
  <c r="AD49" i="2"/>
  <c r="AE49" i="2" s="1"/>
  <c r="AD48" i="2"/>
  <c r="AE48" i="2" s="1"/>
  <c r="AD47" i="2"/>
  <c r="AE47" i="2" s="1"/>
  <c r="AD46" i="2"/>
  <c r="AE46" i="2" s="1"/>
  <c r="AD45" i="2"/>
  <c r="AE45" i="2" s="1"/>
  <c r="AD44" i="2"/>
  <c r="AE44" i="2" s="1"/>
  <c r="AD43" i="2"/>
  <c r="AE43" i="2" s="1"/>
  <c r="AD40" i="2"/>
  <c r="AE40" i="2" s="1"/>
  <c r="AD39" i="2"/>
  <c r="AE39" i="2" s="1"/>
  <c r="AD38" i="2"/>
  <c r="AE38" i="2" s="1"/>
  <c r="AD37" i="2"/>
  <c r="AE37" i="2" s="1"/>
  <c r="AD36" i="2"/>
  <c r="AE36" i="2" s="1"/>
  <c r="AD35" i="2"/>
  <c r="AE35" i="2" s="1"/>
  <c r="AD34" i="2"/>
  <c r="AE34" i="2"/>
  <c r="AD33" i="2"/>
  <c r="AE33" i="2" s="1"/>
  <c r="AD32" i="2"/>
  <c r="AE32" i="2" s="1"/>
  <c r="AD31" i="2"/>
  <c r="AE31" i="2" s="1"/>
  <c r="AD30" i="2"/>
  <c r="AE30" i="2" s="1"/>
  <c r="AD29" i="2"/>
  <c r="AE29" i="2"/>
  <c r="AD28" i="2"/>
  <c r="AE28" i="2" s="1"/>
  <c r="AD27" i="2"/>
  <c r="AE27" i="2" s="1"/>
  <c r="AD24" i="2"/>
  <c r="AE24" i="2" s="1"/>
  <c r="AD23" i="2"/>
  <c r="AE23" i="2" s="1"/>
  <c r="AD22" i="2"/>
  <c r="AE22" i="2" s="1"/>
  <c r="AD21" i="2"/>
  <c r="AE21" i="2" s="1"/>
  <c r="AD18" i="2"/>
  <c r="AE18" i="2" s="1"/>
  <c r="AD17" i="2"/>
  <c r="AE17" i="2" s="1"/>
  <c r="AD16" i="2"/>
  <c r="AE16" i="2" s="1"/>
  <c r="AD15" i="2"/>
  <c r="AE15" i="2"/>
  <c r="AD14" i="2"/>
  <c r="AE14" i="2"/>
  <c r="AE11" i="2"/>
  <c r="AM39" i="2"/>
  <c r="AM11" i="2"/>
  <c r="AM10" i="2"/>
  <c r="AM9" i="2"/>
  <c r="AE10" i="2"/>
  <c r="AE9" i="2"/>
  <c r="AE8" i="2" s="1"/>
  <c r="V52" i="2"/>
  <c r="W52" i="2" s="1"/>
  <c r="V50" i="2"/>
  <c r="W50" i="2" s="1"/>
  <c r="V49" i="2"/>
  <c r="W49" i="2" s="1"/>
  <c r="V48" i="2"/>
  <c r="W48" i="2" s="1"/>
  <c r="V47" i="2"/>
  <c r="W47" i="2" s="1"/>
  <c r="V46" i="2"/>
  <c r="W46" i="2" s="1"/>
  <c r="V45" i="2"/>
  <c r="W45" i="2" s="1"/>
  <c r="V44" i="2"/>
  <c r="W44" i="2" s="1"/>
  <c r="V43" i="2"/>
  <c r="W43" i="2" s="1"/>
  <c r="V40" i="2"/>
  <c r="W40" i="2" s="1"/>
  <c r="V39" i="2"/>
  <c r="W39" i="2" s="1"/>
  <c r="V38" i="2"/>
  <c r="W38" i="2" s="1"/>
  <c r="V37" i="2"/>
  <c r="W37" i="2" s="1"/>
  <c r="V36" i="2"/>
  <c r="W36" i="2" s="1"/>
  <c r="V35" i="2"/>
  <c r="W35" i="2" s="1"/>
  <c r="V34" i="2"/>
  <c r="W34" i="2" s="1"/>
  <c r="V33" i="2"/>
  <c r="W33" i="2" s="1"/>
  <c r="V32" i="2"/>
  <c r="W32" i="2" s="1"/>
  <c r="V31" i="2"/>
  <c r="W31" i="2" s="1"/>
  <c r="V30" i="2"/>
  <c r="W30" i="2" s="1"/>
  <c r="V29" i="2"/>
  <c r="W29" i="2" s="1"/>
  <c r="V28" i="2"/>
  <c r="W28" i="2" s="1"/>
  <c r="V27" i="2"/>
  <c r="W27" i="2" s="1"/>
  <c r="V24" i="2"/>
  <c r="W24" i="2" s="1"/>
  <c r="V23" i="2"/>
  <c r="W23" i="2" s="1"/>
  <c r="V22" i="2"/>
  <c r="W22" i="2" s="1"/>
  <c r="V21" i="2"/>
  <c r="W21" i="2" s="1"/>
  <c r="V18" i="2"/>
  <c r="W18" i="2" s="1"/>
  <c r="V17" i="2"/>
  <c r="W17" i="2" s="1"/>
  <c r="V16" i="2"/>
  <c r="W16" i="2" s="1"/>
  <c r="V15" i="2"/>
  <c r="W15" i="2" s="1"/>
  <c r="V14" i="2"/>
  <c r="W14" i="2" s="1"/>
  <c r="W13" i="2" s="1"/>
  <c r="W11" i="2"/>
  <c r="W10" i="2"/>
  <c r="W9" i="2"/>
  <c r="N50" i="2"/>
  <c r="O50" i="2" s="1"/>
  <c r="N49" i="2"/>
  <c r="O49" i="2" s="1"/>
  <c r="N48" i="2"/>
  <c r="O48" i="2" s="1"/>
  <c r="N47" i="2"/>
  <c r="O47" i="2" s="1"/>
  <c r="N46" i="2"/>
  <c r="O46" i="2"/>
  <c r="N45" i="2"/>
  <c r="O45" i="2" s="1"/>
  <c r="N44" i="2"/>
  <c r="O44" i="2"/>
  <c r="N43" i="2"/>
  <c r="O43" i="2" s="1"/>
  <c r="N40" i="2"/>
  <c r="O40" i="2" s="1"/>
  <c r="N39" i="2"/>
  <c r="O39" i="2"/>
  <c r="N38" i="2"/>
  <c r="O38" i="2"/>
  <c r="N37" i="2"/>
  <c r="O37" i="2" s="1"/>
  <c r="N36" i="2"/>
  <c r="O36" i="2" s="1"/>
  <c r="N35" i="2"/>
  <c r="O35" i="2" s="1"/>
  <c r="N34" i="2"/>
  <c r="O34" i="2" s="1"/>
  <c r="N33" i="2"/>
  <c r="O33" i="2" s="1"/>
  <c r="N32" i="2"/>
  <c r="O32" i="2"/>
  <c r="N31" i="2"/>
  <c r="O31" i="2" s="1"/>
  <c r="N30" i="2"/>
  <c r="O30" i="2" s="1"/>
  <c r="N29" i="2"/>
  <c r="O29" i="2" s="1"/>
  <c r="N28" i="2"/>
  <c r="O28" i="2" s="1"/>
  <c r="N27" i="2"/>
  <c r="O27" i="2"/>
  <c r="N24" i="2"/>
  <c r="O24" i="2" s="1"/>
  <c r="N23" i="2"/>
  <c r="O23" i="2" s="1"/>
  <c r="N22" i="2"/>
  <c r="O22" i="2" s="1"/>
  <c r="N21" i="2"/>
  <c r="O21" i="2"/>
  <c r="N18" i="2"/>
  <c r="O18" i="2" s="1"/>
  <c r="N17" i="2"/>
  <c r="O17" i="2"/>
  <c r="N16" i="2"/>
  <c r="O16" i="2" s="1"/>
  <c r="N15" i="2"/>
  <c r="O15" i="2" s="1"/>
  <c r="N14" i="2"/>
  <c r="O14" i="2" s="1"/>
  <c r="O11" i="2"/>
  <c r="O10" i="2"/>
  <c r="O9" i="2"/>
  <c r="O8" i="2" s="1"/>
  <c r="AL52" i="1"/>
  <c r="AM52" i="1"/>
  <c r="AL50" i="1"/>
  <c r="AM50" i="1" s="1"/>
  <c r="AL49" i="1"/>
  <c r="AM49" i="1" s="1"/>
  <c r="AL48" i="1"/>
  <c r="AM48" i="1" s="1"/>
  <c r="AL47" i="1"/>
  <c r="AM47" i="1" s="1"/>
  <c r="AL46" i="1"/>
  <c r="AM46" i="1" s="1"/>
  <c r="AL45" i="1"/>
  <c r="AM45" i="1" s="1"/>
  <c r="AL40" i="1"/>
  <c r="AM40" i="1" s="1"/>
  <c r="AL39" i="1"/>
  <c r="AM39" i="1" s="1"/>
  <c r="AL38" i="1"/>
  <c r="AM38" i="1" s="1"/>
  <c r="AL37" i="1"/>
  <c r="AM37" i="1"/>
  <c r="AL36" i="1"/>
  <c r="AM36" i="1" s="1"/>
  <c r="AL35" i="1"/>
  <c r="AM35" i="1"/>
  <c r="AL34" i="1"/>
  <c r="AM34" i="1"/>
  <c r="AL33" i="1"/>
  <c r="AM33" i="1"/>
  <c r="AL32" i="1"/>
  <c r="AM32" i="1" s="1"/>
  <c r="AL31" i="1"/>
  <c r="AM31" i="1" s="1"/>
  <c r="AL30" i="1"/>
  <c r="AM30" i="1"/>
  <c r="AL29" i="1"/>
  <c r="AM29" i="1" s="1"/>
  <c r="AL28" i="1"/>
  <c r="AM28" i="1" s="1"/>
  <c r="AL27" i="1"/>
  <c r="AM27" i="1" s="1"/>
  <c r="AL24" i="1"/>
  <c r="AM24" i="1" s="1"/>
  <c r="AL23" i="1"/>
  <c r="AM23" i="1" s="1"/>
  <c r="AL22" i="1"/>
  <c r="AM22" i="1" s="1"/>
  <c r="AL21" i="1"/>
  <c r="AM21" i="1" s="1"/>
  <c r="AL18" i="1"/>
  <c r="AM18" i="1"/>
  <c r="AL17" i="1"/>
  <c r="AM17" i="1" s="1"/>
  <c r="AL16" i="1"/>
  <c r="AM16" i="1" s="1"/>
  <c r="AL15" i="1"/>
  <c r="AM15" i="1" s="1"/>
  <c r="AL14" i="1"/>
  <c r="AM14" i="1"/>
  <c r="AM11" i="1"/>
  <c r="AM10" i="1"/>
  <c r="AM9" i="1"/>
  <c r="AD52" i="1"/>
  <c r="AE52" i="1" s="1"/>
  <c r="AD50" i="1"/>
  <c r="AE50" i="1"/>
  <c r="AD49" i="1"/>
  <c r="AE49" i="1" s="1"/>
  <c r="AD48" i="1"/>
  <c r="AE48" i="1" s="1"/>
  <c r="AD47" i="1"/>
  <c r="AE47" i="1" s="1"/>
  <c r="AD46" i="1"/>
  <c r="AE46" i="1" s="1"/>
  <c r="AD45" i="1"/>
  <c r="AE45" i="1" s="1"/>
  <c r="AD44" i="1"/>
  <c r="AE44" i="1"/>
  <c r="AD40" i="1"/>
  <c r="AE40" i="1"/>
  <c r="AD39" i="1"/>
  <c r="AE39" i="1"/>
  <c r="AD38" i="1"/>
  <c r="AE38" i="1"/>
  <c r="AD37" i="1"/>
  <c r="AE37" i="1" s="1"/>
  <c r="AD36" i="1"/>
  <c r="AE36" i="1" s="1"/>
  <c r="AD35" i="1"/>
  <c r="AE35" i="1" s="1"/>
  <c r="AD34" i="1"/>
  <c r="AE34" i="1" s="1"/>
  <c r="AD33" i="1"/>
  <c r="AE33" i="1" s="1"/>
  <c r="AD32" i="1"/>
  <c r="AE32" i="1" s="1"/>
  <c r="AD31" i="1"/>
  <c r="AE31" i="1" s="1"/>
  <c r="AD30" i="1"/>
  <c r="AE30" i="1" s="1"/>
  <c r="AD29" i="1"/>
  <c r="AE29" i="1"/>
  <c r="AD28" i="1"/>
  <c r="AE28" i="1" s="1"/>
  <c r="AD27" i="1"/>
  <c r="AE27" i="1"/>
  <c r="AD24" i="1"/>
  <c r="AE24" i="1" s="1"/>
  <c r="AD23" i="1"/>
  <c r="AE23" i="1" s="1"/>
  <c r="AD22" i="1"/>
  <c r="AE22" i="1" s="1"/>
  <c r="AD21" i="1"/>
  <c r="AE21" i="1" s="1"/>
  <c r="AD18" i="1"/>
  <c r="AE18" i="1" s="1"/>
  <c r="AD17" i="1"/>
  <c r="AE17" i="1" s="1"/>
  <c r="AD16" i="1"/>
  <c r="AE16" i="1" s="1"/>
  <c r="AD15" i="1"/>
  <c r="AE15" i="1" s="1"/>
  <c r="AD14" i="1"/>
  <c r="AE14" i="1"/>
  <c r="AE11" i="1"/>
  <c r="AE10" i="1"/>
  <c r="AE9" i="1"/>
  <c r="V52" i="1"/>
  <c r="W52" i="1" s="1"/>
  <c r="V50" i="1"/>
  <c r="W50" i="1" s="1"/>
  <c r="V49" i="1"/>
  <c r="W49" i="1" s="1"/>
  <c r="V48" i="1"/>
  <c r="W48" i="1" s="1"/>
  <c r="V47" i="1"/>
  <c r="W47" i="1" s="1"/>
  <c r="V46" i="1"/>
  <c r="W46" i="1" s="1"/>
  <c r="V45" i="1"/>
  <c r="W45" i="1" s="1"/>
  <c r="V40" i="1"/>
  <c r="W40" i="1" s="1"/>
  <c r="V39" i="1"/>
  <c r="W39" i="1"/>
  <c r="V38" i="1"/>
  <c r="W38" i="1" s="1"/>
  <c r="V37" i="1"/>
  <c r="W37" i="1"/>
  <c r="V36" i="1"/>
  <c r="W36" i="1"/>
  <c r="V35" i="1"/>
  <c r="W35" i="1"/>
  <c r="V34" i="1"/>
  <c r="W34" i="1" s="1"/>
  <c r="V33" i="1"/>
  <c r="W33" i="1" s="1"/>
  <c r="V32" i="1"/>
  <c r="W32" i="1" s="1"/>
  <c r="V31" i="1"/>
  <c r="W31" i="1" s="1"/>
  <c r="V30" i="1"/>
  <c r="W30" i="1" s="1"/>
  <c r="V29" i="1"/>
  <c r="W29" i="1" s="1"/>
  <c r="V28" i="1"/>
  <c r="W28" i="1" s="1"/>
  <c r="V27" i="1"/>
  <c r="W27" i="1" s="1"/>
  <c r="V24" i="1"/>
  <c r="W24" i="1"/>
  <c r="V23" i="1"/>
  <c r="W23" i="1" s="1"/>
  <c r="V22" i="1"/>
  <c r="W22" i="1" s="1"/>
  <c r="V21" i="1"/>
  <c r="W21" i="1" s="1"/>
  <c r="V18" i="1"/>
  <c r="W18" i="1" s="1"/>
  <c r="V17" i="1"/>
  <c r="W17" i="1" s="1"/>
  <c r="V16" i="1"/>
  <c r="W16" i="1" s="1"/>
  <c r="V15" i="1"/>
  <c r="W15" i="1" s="1"/>
  <c r="V14" i="1"/>
  <c r="W14" i="1" s="1"/>
  <c r="W11" i="1"/>
  <c r="W10" i="1"/>
  <c r="W9" i="1"/>
  <c r="O11" i="1"/>
  <c r="N52" i="1"/>
  <c r="O52" i="1" s="1"/>
  <c r="N50" i="1"/>
  <c r="O50" i="1" s="1"/>
  <c r="N49" i="1"/>
  <c r="O49" i="1" s="1"/>
  <c r="N48" i="1"/>
  <c r="O48" i="1" s="1"/>
  <c r="N47" i="1"/>
  <c r="O47" i="1" s="1"/>
  <c r="N46" i="1"/>
  <c r="O46" i="1"/>
  <c r="N45" i="1"/>
  <c r="O45" i="1" s="1"/>
  <c r="N40" i="1"/>
  <c r="O40" i="1" s="1"/>
  <c r="N39" i="1"/>
  <c r="O39" i="1" s="1"/>
  <c r="N38" i="1"/>
  <c r="O38" i="1" s="1"/>
  <c r="N37" i="1"/>
  <c r="O37" i="1" s="1"/>
  <c r="N36" i="1"/>
  <c r="O36" i="1" s="1"/>
  <c r="N35" i="1"/>
  <c r="O35" i="1"/>
  <c r="N34" i="1"/>
  <c r="O34" i="1"/>
  <c r="N33" i="1"/>
  <c r="O33" i="1" s="1"/>
  <c r="N32" i="1"/>
  <c r="O32" i="1"/>
  <c r="N31" i="1"/>
  <c r="O31" i="1" s="1"/>
  <c r="N30" i="1"/>
  <c r="O30" i="1" s="1"/>
  <c r="N29" i="1"/>
  <c r="O29" i="1" s="1"/>
  <c r="N28" i="1"/>
  <c r="O28" i="1" s="1"/>
  <c r="N27" i="1"/>
  <c r="O27" i="1" s="1"/>
  <c r="N24" i="1"/>
  <c r="O24" i="1" s="1"/>
  <c r="N23" i="1"/>
  <c r="O23" i="1" s="1"/>
  <c r="N22" i="1"/>
  <c r="O22" i="1" s="1"/>
  <c r="N21" i="1"/>
  <c r="O21" i="1" s="1"/>
  <c r="N18" i="1"/>
  <c r="O18" i="1"/>
  <c r="N17" i="1"/>
  <c r="O17" i="1" s="1"/>
  <c r="N16" i="1"/>
  <c r="O16" i="1" s="1"/>
  <c r="N15" i="1"/>
  <c r="O15" i="1"/>
  <c r="N14" i="1"/>
  <c r="O14" i="1"/>
  <c r="O10" i="1"/>
  <c r="O9" i="1"/>
  <c r="G44" i="4"/>
  <c r="G52" i="4"/>
  <c r="G50" i="4"/>
  <c r="G49" i="4"/>
  <c r="G48" i="4"/>
  <c r="G47" i="4"/>
  <c r="G46" i="4"/>
  <c r="F45" i="4"/>
  <c r="G45" i="4" s="1"/>
  <c r="G43" i="4"/>
  <c r="G40" i="4"/>
  <c r="G39" i="4"/>
  <c r="G38" i="4"/>
  <c r="G37" i="4"/>
  <c r="G36" i="4"/>
  <c r="G35" i="4"/>
  <c r="G34" i="4"/>
  <c r="G33" i="4"/>
  <c r="G32" i="4"/>
  <c r="G31" i="4"/>
  <c r="G30" i="4"/>
  <c r="G28" i="4"/>
  <c r="G27" i="4"/>
  <c r="G24" i="4"/>
  <c r="G23" i="4"/>
  <c r="G22" i="4"/>
  <c r="G21" i="4"/>
  <c r="G18" i="4"/>
  <c r="G17" i="4"/>
  <c r="G16" i="4"/>
  <c r="G15" i="4"/>
  <c r="G14" i="4"/>
  <c r="G11" i="4"/>
  <c r="G10" i="4"/>
  <c r="G9" i="4"/>
  <c r="G44" i="1"/>
  <c r="AD43" i="1"/>
  <c r="AE43" i="1" s="1"/>
  <c r="G43" i="2"/>
  <c r="G50" i="2"/>
  <c r="G49" i="2"/>
  <c r="G48" i="2"/>
  <c r="G47" i="2"/>
  <c r="G46" i="2"/>
  <c r="G45" i="2"/>
  <c r="G44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4" i="2"/>
  <c r="G23" i="2"/>
  <c r="G22" i="2"/>
  <c r="G21" i="2"/>
  <c r="G18" i="2"/>
  <c r="G17" i="2"/>
  <c r="G16" i="2"/>
  <c r="G15" i="2"/>
  <c r="G14" i="2"/>
  <c r="G11" i="2"/>
  <c r="G10" i="2"/>
  <c r="G9" i="2"/>
  <c r="G47" i="1"/>
  <c r="G52" i="1"/>
  <c r="G18" i="1"/>
  <c r="G17" i="1"/>
  <c r="G16" i="1"/>
  <c r="G24" i="1"/>
  <c r="G23" i="1"/>
  <c r="G22" i="1"/>
  <c r="G21" i="1"/>
  <c r="G11" i="1"/>
  <c r="G10" i="1"/>
  <c r="N43" i="1"/>
  <c r="O43" i="1" s="1"/>
  <c r="AL43" i="1"/>
  <c r="AM43" i="1"/>
  <c r="AL44" i="1"/>
  <c r="AM44" i="1" s="1"/>
  <c r="V43" i="1"/>
  <c r="W43" i="1" s="1"/>
  <c r="V44" i="1"/>
  <c r="W44" i="1"/>
  <c r="N44" i="1"/>
  <c r="O44" i="1"/>
  <c r="G50" i="1"/>
  <c r="G49" i="1"/>
  <c r="G48" i="1"/>
  <c r="G46" i="1"/>
  <c r="G45" i="1"/>
  <c r="G43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15" i="1"/>
  <c r="G14" i="1"/>
  <c r="G9" i="1"/>
  <c r="O9" i="4" l="1"/>
  <c r="N29" i="4"/>
  <c r="O29" i="4" s="1"/>
  <c r="G29" i="4"/>
  <c r="AL44" i="4"/>
  <c r="AM44" i="4" s="1"/>
  <c r="AD43" i="4"/>
  <c r="AE43" i="4" s="1"/>
  <c r="V43" i="4"/>
  <c r="W43" i="4" s="1"/>
  <c r="V44" i="4"/>
  <c r="W44" i="4" s="1"/>
  <c r="O20" i="4"/>
  <c r="G13" i="4"/>
  <c r="G20" i="4"/>
  <c r="N45" i="4"/>
  <c r="O45" i="4" s="1"/>
  <c r="N44" i="4"/>
  <c r="O44" i="4" s="1"/>
  <c r="N10" i="4"/>
  <c r="O10" i="4" s="1"/>
  <c r="N43" i="4"/>
  <c r="O43" i="4" s="1"/>
  <c r="O42" i="4" s="1"/>
  <c r="G8" i="4"/>
  <c r="AL45" i="6"/>
  <c r="AM45" i="6" s="1"/>
  <c r="AM42" i="6" s="1"/>
  <c r="AE8" i="6"/>
  <c r="O8" i="6"/>
  <c r="AM8" i="6"/>
  <c r="AM54" i="6" s="1"/>
  <c r="G8" i="6"/>
  <c r="AM13" i="2"/>
  <c r="G8" i="2"/>
  <c r="W8" i="2"/>
  <c r="G20" i="2"/>
  <c r="AM42" i="2"/>
  <c r="AE8" i="1"/>
  <c r="G8" i="1"/>
  <c r="O8" i="1"/>
  <c r="O13" i="4"/>
  <c r="V45" i="4"/>
  <c r="W45" i="4" s="1"/>
  <c r="G26" i="4"/>
  <c r="W13" i="4"/>
  <c r="AL45" i="4"/>
  <c r="AM45" i="4" s="1"/>
  <c r="O8" i="4"/>
  <c r="AM42" i="4"/>
  <c r="AE13" i="4"/>
  <c r="AM20" i="4"/>
  <c r="AM13" i="4"/>
  <c r="W20" i="4"/>
  <c r="AD9" i="4"/>
  <c r="V10" i="4"/>
  <c r="W10" i="4" s="1"/>
  <c r="W9" i="4"/>
  <c r="W8" i="4" s="1"/>
  <c r="W26" i="4"/>
  <c r="O26" i="4"/>
  <c r="AE20" i="4"/>
  <c r="AD29" i="4"/>
  <c r="AE29" i="4" s="1"/>
  <c r="AE26" i="4" s="1"/>
  <c r="AD45" i="4"/>
  <c r="AE45" i="4" s="1"/>
  <c r="G42" i="4"/>
  <c r="AL29" i="4"/>
  <c r="AM29" i="4" s="1"/>
  <c r="AM26" i="4" s="1"/>
  <c r="O20" i="6"/>
  <c r="G20" i="6"/>
  <c r="AE20" i="6"/>
  <c r="O13" i="6"/>
  <c r="AE42" i="6"/>
  <c r="G26" i="6"/>
  <c r="AM20" i="6"/>
  <c r="G13" i="6"/>
  <c r="W8" i="6"/>
  <c r="W20" i="6"/>
  <c r="W26" i="6"/>
  <c r="AM13" i="6"/>
  <c r="AE26" i="6"/>
  <c r="AM26" i="6"/>
  <c r="AE13" i="6"/>
  <c r="O26" i="6"/>
  <c r="W13" i="6"/>
  <c r="G45" i="6"/>
  <c r="G42" i="6" s="1"/>
  <c r="N45" i="6"/>
  <c r="O45" i="6" s="1"/>
  <c r="O42" i="6" s="1"/>
  <c r="V45" i="6"/>
  <c r="W45" i="6" s="1"/>
  <c r="W42" i="6" s="1"/>
  <c r="O42" i="2"/>
  <c r="AE20" i="2"/>
  <c r="AE42" i="2"/>
  <c r="AE26" i="2"/>
  <c r="O13" i="2"/>
  <c r="O20" i="2"/>
  <c r="G26" i="2"/>
  <c r="AM20" i="2"/>
  <c r="AE13" i="2"/>
  <c r="W20" i="2"/>
  <c r="AM8" i="2"/>
  <c r="O26" i="2"/>
  <c r="G13" i="2"/>
  <c r="AM26" i="2"/>
  <c r="W42" i="2"/>
  <c r="W26" i="2"/>
  <c r="G42" i="2"/>
  <c r="AE42" i="1"/>
  <c r="G26" i="1"/>
  <c r="W20" i="1"/>
  <c r="AE13" i="1"/>
  <c r="O20" i="1"/>
  <c r="AM20" i="1"/>
  <c r="G13" i="1"/>
  <c r="G20" i="1"/>
  <c r="W8" i="1"/>
  <c r="AM13" i="1"/>
  <c r="O13" i="1"/>
  <c r="AE26" i="1"/>
  <c r="AM8" i="1"/>
  <c r="W42" i="1"/>
  <c r="W13" i="1"/>
  <c r="O26" i="1"/>
  <c r="O42" i="1"/>
  <c r="W26" i="1"/>
  <c r="AM26" i="1"/>
  <c r="AE20" i="1"/>
  <c r="AM42" i="1"/>
  <c r="G42" i="1"/>
  <c r="G42" i="8"/>
  <c r="W42" i="4" l="1"/>
  <c r="W54" i="4" s="1"/>
  <c r="O54" i="1"/>
  <c r="AE42" i="4"/>
  <c r="O54" i="4"/>
  <c r="G54" i="6"/>
  <c r="AE54" i="6"/>
  <c r="AM54" i="2"/>
  <c r="AM55" i="2" s="1"/>
  <c r="AE54" i="2"/>
  <c r="AE55" i="2" s="1"/>
  <c r="AE56" i="2" s="1"/>
  <c r="G54" i="2"/>
  <c r="G55" i="2" s="1"/>
  <c r="G56" i="2" s="1"/>
  <c r="W54" i="2"/>
  <c r="W55" i="2" s="1"/>
  <c r="W56" i="2" s="1"/>
  <c r="G54" i="1"/>
  <c r="AE54" i="1"/>
  <c r="G54" i="4"/>
  <c r="G55" i="4" s="1"/>
  <c r="G56" i="4" s="1"/>
  <c r="O55" i="4"/>
  <c r="O56" i="4" s="1"/>
  <c r="AL9" i="4"/>
  <c r="AD10" i="4"/>
  <c r="AE10" i="4" s="1"/>
  <c r="AE9" i="4"/>
  <c r="AE8" i="4" s="1"/>
  <c r="AE54" i="4" s="1"/>
  <c r="W54" i="6"/>
  <c r="W55" i="6" s="1"/>
  <c r="W56" i="6" s="1"/>
  <c r="O54" i="6"/>
  <c r="AE55" i="6"/>
  <c r="AE56" i="6" s="1"/>
  <c r="AM55" i="6"/>
  <c r="AM56" i="6" s="1"/>
  <c r="O54" i="2"/>
  <c r="O55" i="2" s="1"/>
  <c r="O56" i="2" s="1"/>
  <c r="W54" i="1"/>
  <c r="W55" i="1" s="1"/>
  <c r="AM54" i="1"/>
  <c r="AM55" i="1"/>
  <c r="AM56" i="1" s="1"/>
  <c r="O55" i="1"/>
  <c r="O56" i="1" s="1"/>
  <c r="G43" i="8"/>
  <c r="G44" i="8" s="1"/>
  <c r="G44" i="7"/>
  <c r="G45" i="7" s="1"/>
  <c r="G55" i="6"/>
  <c r="G56" i="6" s="1"/>
  <c r="G55" i="1"/>
  <c r="G56" i="1" s="1"/>
  <c r="AE55" i="1" l="1"/>
  <c r="AE56" i="1" s="1"/>
  <c r="AM56" i="2"/>
  <c r="AE55" i="4"/>
  <c r="AE56" i="4" s="1"/>
  <c r="W55" i="4"/>
  <c r="W56" i="4"/>
  <c r="AL10" i="4"/>
  <c r="AM10" i="4" s="1"/>
  <c r="AM9" i="4"/>
  <c r="AM8" i="4" s="1"/>
  <c r="AM54" i="4" s="1"/>
  <c r="O55" i="6"/>
  <c r="O56" i="6"/>
  <c r="W56" i="1"/>
  <c r="AM55" i="4" l="1"/>
  <c r="AM56" i="4" s="1"/>
</calcChain>
</file>

<file path=xl/sharedStrings.xml><?xml version="1.0" encoding="utf-8"?>
<sst xmlns="http://schemas.openxmlformats.org/spreadsheetml/2006/main" count="2736" uniqueCount="127">
  <si>
    <t>CHARGING WORK 20 DC</t>
  </si>
  <si>
    <t xml:space="preserve">Site Name: </t>
  </si>
  <si>
    <t xml:space="preserve">Site Location: </t>
  </si>
  <si>
    <t>NEW PLAN BOQ VGREEN - JAVA ISLAND</t>
  </si>
  <si>
    <t>NEW PLAN BOQ VGREEN - SUMATERA ISLAND</t>
  </si>
  <si>
    <t>NEW PLAN BOQ VGREEN - BALI NUSA TENGGARA ISLAND</t>
  </si>
  <si>
    <t>NEW PLAN BOQ VGREEN - KALIMANTAN ISLAND</t>
  </si>
  <si>
    <t>NEW PLAN BOQ VGREEN - SULAWESI ISLAND</t>
  </si>
  <si>
    <t>NO</t>
  </si>
  <si>
    <t>Item</t>
  </si>
  <si>
    <t>VOLUME</t>
  </si>
  <si>
    <t>MERK</t>
  </si>
  <si>
    <t>UNIT PRICE</t>
  </si>
  <si>
    <t>TOTAL PRICE</t>
  </si>
  <si>
    <t>A</t>
  </si>
  <si>
    <t>Sertifikat NINDI &amp; SLO and Handling Fee</t>
  </si>
  <si>
    <t>Lot</t>
  </si>
  <si>
    <t>Certificat NIDI</t>
  </si>
  <si>
    <t>VA</t>
  </si>
  <si>
    <t>Certificat SLO</t>
  </si>
  <si>
    <t>Service PLN Connection</t>
  </si>
  <si>
    <t>B</t>
  </si>
  <si>
    <t>CIVIL WORK - EV Charger Foundation</t>
  </si>
  <si>
    <t>Unit</t>
  </si>
  <si>
    <t xml:space="preserve">Concrete Pedestal Foundation (Include Anchor Bolts
and Base Plate) 460mm x 500mm x 600mm </t>
  </si>
  <si>
    <t>Local</t>
  </si>
  <si>
    <t>Pole for mounting AC Panel and Apar</t>
  </si>
  <si>
    <t>Installation EV charging DC 20kw</t>
  </si>
  <si>
    <t>Grounding and Insulation Test Services</t>
  </si>
  <si>
    <t>Sticker EV Charger (DTF type)</t>
  </si>
  <si>
    <t>Sticker EV Charger</t>
  </si>
  <si>
    <t>C</t>
  </si>
  <si>
    <t xml:space="preserve">CIVIL WORK - Parkir Lot </t>
  </si>
  <si>
    <t>Parking Lot Painting (2,5 x 5 m) Services and Materials</t>
  </si>
  <si>
    <t>Wheel Stopper Rubber 56 x 16 x 10 cm</t>
  </si>
  <si>
    <t>unit</t>
  </si>
  <si>
    <t>Rubber</t>
  </si>
  <si>
    <t>Fire Extaungiser (Dry Powder 3kg)</t>
  </si>
  <si>
    <t>pcs</t>
  </si>
  <si>
    <t>?</t>
  </si>
  <si>
    <t>Box 30x55x20cm Fire Extingusher</t>
  </si>
  <si>
    <t>Pcs</t>
  </si>
  <si>
    <t>D</t>
  </si>
  <si>
    <t>ELECTRICAL - Panel Distribution with acsoriess</t>
  </si>
  <si>
    <t>AC Panel with Dimension 300x400x200 mm</t>
  </si>
  <si>
    <t>Outdooor Type</t>
  </si>
  <si>
    <t>Fuse 2 Ampere</t>
  </si>
  <si>
    <t>Breaker (MCCB 40 Ampere, 3PHASE)</t>
  </si>
  <si>
    <t>Schneider/ABB</t>
  </si>
  <si>
    <t>Cable Gland (IN OUT AC Panel)</t>
  </si>
  <si>
    <t>Phase Marking</t>
  </si>
  <si>
    <t>Panel</t>
  </si>
  <si>
    <t>Busbar Grounding (CU, 6 hole)</t>
  </si>
  <si>
    <t>Rain Din</t>
  </si>
  <si>
    <t>Cable Duct</t>
  </si>
  <si>
    <t>Sticker Safety Sign</t>
  </si>
  <si>
    <t>Lugs (Sizing Follow Cable and Termination)</t>
  </si>
  <si>
    <t>Pilot Lamp (Red, Green, Yellow)</t>
  </si>
  <si>
    <t>Set</t>
  </si>
  <si>
    <t>Volt Meter Digital With Selector (L-N, L-L)</t>
  </si>
  <si>
    <t>Terminal Block (IN OUT) AC Panel</t>
  </si>
  <si>
    <t>Wiring Panel</t>
  </si>
  <si>
    <t>E</t>
  </si>
  <si>
    <t>CABLING AND ACCESSORIES INSTALLATION</t>
  </si>
  <si>
    <t>Cable Power NYY 4x10 mm (from KWH to AC Panel)</t>
  </si>
  <si>
    <t>Mtr</t>
  </si>
  <si>
    <t>Supreme/Kabel Metal/Jembo/BICC Berca</t>
  </si>
  <si>
    <t>Cable Power NYY 4x10 mm (from AC Panel to Charger)</t>
  </si>
  <si>
    <t>Cable Ground NYA 6mm with rod and grounding clamp</t>
  </si>
  <si>
    <t>Flexible Conduit Metal</t>
  </si>
  <si>
    <t>Pipa Conduit</t>
  </si>
  <si>
    <t>Clipsal</t>
  </si>
  <si>
    <t>Sock Conduit</t>
  </si>
  <si>
    <t>Elbow Conduit</t>
  </si>
  <si>
    <t>Cable trenching and re-alignment</t>
  </si>
  <si>
    <t>F</t>
  </si>
  <si>
    <t>Biaya transport dan Survey (JAVA)</t>
  </si>
  <si>
    <t>Biaya transport dan Survey (SUMATERA)</t>
  </si>
  <si>
    <t>Biaya transport dan Survey (BALI NUSA TENGGARA)</t>
  </si>
  <si>
    <t>Biaya transport dan Survey (KALIMANTAN)</t>
  </si>
  <si>
    <t>Biaya transport dan Survey (SULAWESI)</t>
  </si>
  <si>
    <t xml:space="preserve">Sub Total : </t>
  </si>
  <si>
    <t>VAT 11%</t>
  </si>
  <si>
    <t>Total Contractor Price</t>
  </si>
  <si>
    <t>CHARGING WORK 30 DC</t>
  </si>
  <si>
    <t xml:space="preserve">Concrete Pedestal Foundation (Include Anchor Bolts
and Base Plate) 500mm x 1280mm x 800mm </t>
  </si>
  <si>
    <t>Installation EV charging DC 30kw</t>
  </si>
  <si>
    <t>Breaker (MCCB 63 Ampere, 3PHASE)</t>
  </si>
  <si>
    <t>Cable Power NYY 4x16 mm (from KWH to AC Panel)</t>
  </si>
  <si>
    <t>Cable Power NYY 4x16 mm (from AC Panel to Charger)</t>
  </si>
  <si>
    <t>Cable Ground NYA 10mm with rod and grounding clamp</t>
  </si>
  <si>
    <t>CHARGING WORK 60 DC</t>
  </si>
  <si>
    <t>Concrete Pedestal Foundation (Include Anchor Bolts
and Base Plate) 920mm x 600mm x 600mm</t>
  </si>
  <si>
    <t>Installation EV charging DC 60kw</t>
  </si>
  <si>
    <t>AC Panel with Dimension 300x600x200 mm</t>
  </si>
  <si>
    <t>Cable Power NYY 4x35mm (from KWH to AC Panel)</t>
  </si>
  <si>
    <t>Cable Power NYY 4x35mm (from AC Panel to Charger)</t>
  </si>
  <si>
    <t>Cable Ground NYA 16mm with rod and grounding clamp</t>
  </si>
  <si>
    <t>CHARGING WORK 120 DC</t>
  </si>
  <si>
    <t>AC Panel with Dimension 600x800x400 mm</t>
  </si>
  <si>
    <t>Breaker (MCCB 200 Ampere, 3PHASE)</t>
  </si>
  <si>
    <t>Cable Power NYY 4x70 mm (from KWH to AC Panel)</t>
  </si>
  <si>
    <t>Cable Power NYY 4x70 mm (from AC Panel to Charger)</t>
  </si>
  <si>
    <t>Breaker (MCCB 125Ampere, 3PHASE)</t>
  </si>
  <si>
    <t>BATTERY SWAP STATION 6 SLOT - 1P</t>
  </si>
  <si>
    <t>BOQ BSS 1 UNIT 6 SLOT VGREEN - JAVA ISLAND</t>
  </si>
  <si>
    <t>INSTALATION WORK - EV Charger</t>
  </si>
  <si>
    <t>Dynabolt BSS M12</t>
  </si>
  <si>
    <t>Installation of Battery Swap Station</t>
  </si>
  <si>
    <t>AC Panel with Dimension 30x40x20 cm</t>
  </si>
  <si>
    <t>Breaker 40 Ampere</t>
  </si>
  <si>
    <t>Busbar Grounding</t>
  </si>
  <si>
    <t>Rail Din</t>
  </si>
  <si>
    <t>Pilot Lamp (Green)</t>
  </si>
  <si>
    <t>Terminal Block (IN OUT AC Panel)</t>
  </si>
  <si>
    <t>Cable Power NYYHY 3x10 mm</t>
  </si>
  <si>
    <t>Meter</t>
  </si>
  <si>
    <t>Cable Ground BC 6 mm</t>
  </si>
  <si>
    <t>Conduit Black Steel 3/4inc</t>
  </si>
  <si>
    <t>Conduit Sock</t>
  </si>
  <si>
    <t>Conduit Elbow</t>
  </si>
  <si>
    <t>Material &amp; Service Grounding and Insulation Test (max 4 ohm)</t>
  </si>
  <si>
    <t>BATTERY SWAP STATION 12 SLOT - 1P</t>
  </si>
  <si>
    <t>BOQ BSS 1 UNIT 12 SLOT VGREEN - JAVA ISLAND</t>
  </si>
  <si>
    <t>Breaker 63 Ampere</t>
  </si>
  <si>
    <t>Cable Power NYYHY 3x16 mm</t>
  </si>
  <si>
    <t>Cable Ground BC 10mm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</si>
</sst>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[$Rp-421]* #,##0_-;\-[$Rp-421]* #,##0_-;_-[$Rp-421]* &quot;-&quot;??_-;_-@_-"/>
    <numFmt numFmtId="167" formatCode="_-* #,##0_-;\-* #,##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4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0"/>
      <color rgb="FFFF0000"/>
      <name val="Aptos Narrow"/>
      <family val="2"/>
      <scheme val="minor"/>
    </font>
    <font>
      <i/>
      <sz val="10"/>
      <name val="Aptos Narrow"/>
      <family val="2"/>
      <scheme val="minor"/>
    </font>
    <font>
      <i/>
      <sz val="1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0" fillId="0" borderId="0"/>
    <xf numFmtId="43" fontId="1" fillId="0" borderId="0" applyFont="0" applyFill="0" applyBorder="0" applyAlignment="0" applyProtection="0"/>
    <xf numFmtId="0" fontId="1" fillId="0" borderId="0"/>
  </cellStyleXfs>
  <cellXfs count="109">
    <xf numFmtId="0" fontId="0" fillId="0" borderId="0" xfId="0"/>
    <xf numFmtId="0" fontId="7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right" vertical="center"/>
    </xf>
    <xf numFmtId="0" fontId="12" fillId="0" borderId="1" xfId="0" applyFont="1" applyBorder="1" applyAlignment="1">
      <alignment vertical="center"/>
    </xf>
    <xf numFmtId="166" fontId="7" fillId="0" borderId="10" xfId="1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right" vertical="center"/>
    </xf>
    <xf numFmtId="0" fontId="12" fillId="3" borderId="1" xfId="0" applyFont="1" applyFill="1" applyBorder="1" applyAlignment="1">
      <alignment vertical="center"/>
    </xf>
    <xf numFmtId="0" fontId="12" fillId="3" borderId="10" xfId="0" applyFont="1" applyFill="1" applyBorder="1" applyAlignment="1">
      <alignment vertical="center"/>
    </xf>
    <xf numFmtId="166" fontId="7" fillId="3" borderId="10" xfId="1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165" fontId="4" fillId="4" borderId="6" xfId="1" applyNumberFormat="1" applyFont="1" applyFill="1" applyBorder="1" applyAlignment="1">
      <alignment horizontal="center" vertical="center"/>
    </xf>
    <xf numFmtId="165" fontId="4" fillId="4" borderId="7" xfId="1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166" fontId="13" fillId="5" borderId="1" xfId="1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6" fontId="7" fillId="3" borderId="1" xfId="1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166" fontId="7" fillId="5" borderId="1" xfId="1" applyNumberFormat="1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166" fontId="7" fillId="0" borderId="1" xfId="1" applyNumberFormat="1" applyFont="1" applyFill="1" applyBorder="1" applyAlignment="1">
      <alignment vertical="center"/>
    </xf>
    <xf numFmtId="0" fontId="7" fillId="0" borderId="11" xfId="2" applyFont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10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166" fontId="6" fillId="0" borderId="1" xfId="1" applyNumberFormat="1" applyFont="1" applyFill="1" applyBorder="1" applyAlignment="1">
      <alignment vertical="center"/>
    </xf>
    <xf numFmtId="166" fontId="6" fillId="3" borderId="1" xfId="1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166" fontId="7" fillId="7" borderId="1" xfId="1" applyNumberFormat="1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165" fontId="7" fillId="6" borderId="0" xfId="1" applyNumberFormat="1" applyFont="1" applyFill="1" applyAlignment="1">
      <alignment vertical="center"/>
    </xf>
    <xf numFmtId="165" fontId="7" fillId="6" borderId="1" xfId="1" applyNumberFormat="1" applyFont="1" applyFill="1" applyBorder="1" applyAlignment="1">
      <alignment vertical="center"/>
    </xf>
    <xf numFmtId="165" fontId="13" fillId="6" borderId="1" xfId="1" applyNumberFormat="1" applyFont="1" applyFill="1" applyBorder="1" applyAlignment="1">
      <alignment vertical="center"/>
    </xf>
    <xf numFmtId="165" fontId="3" fillId="3" borderId="0" xfId="1" applyNumberFormat="1" applyFont="1" applyFill="1" applyAlignment="1">
      <alignment vertical="center"/>
    </xf>
    <xf numFmtId="9" fontId="3" fillId="3" borderId="0" xfId="0" applyNumberFormat="1" applyFont="1" applyFill="1" applyAlignment="1">
      <alignment vertical="center"/>
    </xf>
    <xf numFmtId="167" fontId="3" fillId="3" borderId="0" xfId="3" applyNumberFormat="1" applyFont="1" applyFill="1" applyAlignment="1">
      <alignment vertical="center"/>
    </xf>
    <xf numFmtId="167" fontId="3" fillId="3" borderId="0" xfId="0" applyNumberFormat="1" applyFont="1" applyFill="1" applyAlignment="1">
      <alignment vertical="center"/>
    </xf>
    <xf numFmtId="167" fontId="0" fillId="0" borderId="0" xfId="3" applyNumberFormat="1" applyFont="1"/>
    <xf numFmtId="167" fontId="0" fillId="0" borderId="0" xfId="0" applyNumberFormat="1"/>
    <xf numFmtId="0" fontId="3" fillId="3" borderId="0" xfId="4" applyFont="1" applyFill="1" applyAlignment="1">
      <alignment horizontal="center" vertical="center"/>
    </xf>
    <xf numFmtId="0" fontId="3" fillId="3" borderId="0" xfId="4" applyFont="1" applyFill="1" applyAlignment="1">
      <alignment vertical="center"/>
    </xf>
    <xf numFmtId="0" fontId="4" fillId="3" borderId="0" xfId="4" applyFont="1" applyFill="1" applyAlignment="1">
      <alignment vertical="center"/>
    </xf>
    <xf numFmtId="0" fontId="4" fillId="4" borderId="14" xfId="4" applyFont="1" applyFill="1" applyBorder="1" applyAlignment="1">
      <alignment horizontal="center" vertical="center"/>
    </xf>
    <xf numFmtId="0" fontId="4" fillId="4" borderId="15" xfId="4" applyFont="1" applyFill="1" applyBorder="1" applyAlignment="1">
      <alignment horizontal="center" vertical="center"/>
    </xf>
    <xf numFmtId="0" fontId="4" fillId="4" borderId="13" xfId="4" applyFont="1" applyFill="1" applyBorder="1" applyAlignment="1">
      <alignment horizontal="center" vertical="center"/>
    </xf>
    <xf numFmtId="165" fontId="4" fillId="4" borderId="18" xfId="1" applyNumberFormat="1" applyFont="1" applyFill="1" applyBorder="1" applyAlignment="1">
      <alignment horizontal="center" vertical="center"/>
    </xf>
    <xf numFmtId="165" fontId="4" fillId="4" borderId="19" xfId="1" applyNumberFormat="1" applyFont="1" applyFill="1" applyBorder="1" applyAlignment="1">
      <alignment horizontal="center" vertical="center"/>
    </xf>
    <xf numFmtId="0" fontId="4" fillId="5" borderId="20" xfId="4" applyFont="1" applyFill="1" applyBorder="1" applyAlignment="1">
      <alignment horizontal="center" vertical="center"/>
    </xf>
    <xf numFmtId="0" fontId="4" fillId="5" borderId="20" xfId="4" applyFont="1" applyFill="1" applyBorder="1" applyAlignment="1">
      <alignment vertical="center"/>
    </xf>
    <xf numFmtId="166" fontId="13" fillId="5" borderId="20" xfId="1" applyNumberFormat="1" applyFont="1" applyFill="1" applyBorder="1" applyAlignment="1">
      <alignment vertical="center"/>
    </xf>
    <xf numFmtId="0" fontId="3" fillId="0" borderId="1" xfId="4" applyFont="1" applyBorder="1" applyAlignment="1">
      <alignment horizontal="center" vertical="center"/>
    </xf>
    <xf numFmtId="0" fontId="3" fillId="0" borderId="1" xfId="4" applyFont="1" applyBorder="1" applyAlignment="1">
      <alignment vertical="center"/>
    </xf>
    <xf numFmtId="0" fontId="4" fillId="5" borderId="1" xfId="4" applyFont="1" applyFill="1" applyBorder="1" applyAlignment="1">
      <alignment horizontal="center" vertical="center"/>
    </xf>
    <xf numFmtId="0" fontId="4" fillId="5" borderId="1" xfId="4" applyFont="1" applyFill="1" applyBorder="1" applyAlignment="1">
      <alignment vertical="center"/>
    </xf>
    <xf numFmtId="0" fontId="3" fillId="5" borderId="1" xfId="4" applyFont="1" applyFill="1" applyBorder="1" applyAlignment="1">
      <alignment horizontal="center" vertical="center"/>
    </xf>
    <xf numFmtId="0" fontId="7" fillId="0" borderId="1" xfId="4" applyFont="1" applyBorder="1" applyAlignment="1">
      <alignment vertical="center" wrapText="1"/>
    </xf>
    <xf numFmtId="0" fontId="7" fillId="0" borderId="1" xfId="4" applyFont="1" applyBorder="1" applyAlignment="1">
      <alignment horizontal="center" vertical="center"/>
    </xf>
    <xf numFmtId="0" fontId="3" fillId="3" borderId="1" xfId="4" applyFont="1" applyFill="1" applyBorder="1" applyAlignment="1">
      <alignment horizontal="center" vertical="center"/>
    </xf>
    <xf numFmtId="0" fontId="3" fillId="3" borderId="1" xfId="4" applyFont="1" applyFill="1" applyBorder="1" applyAlignment="1">
      <alignment vertical="center"/>
    </xf>
    <xf numFmtId="0" fontId="7" fillId="0" borderId="1" xfId="4" applyFont="1" applyBorder="1" applyAlignment="1">
      <alignment vertical="center"/>
    </xf>
    <xf numFmtId="0" fontId="1" fillId="0" borderId="1" xfId="4" applyBorder="1" applyAlignment="1">
      <alignment horizontal="center" vertical="center"/>
    </xf>
    <xf numFmtId="0" fontId="8" fillId="0" borderId="1" xfId="4" applyFont="1" applyBorder="1" applyAlignment="1">
      <alignment vertical="center"/>
    </xf>
    <xf numFmtId="0" fontId="8" fillId="0" borderId="10" xfId="4" applyFont="1" applyBorder="1" applyAlignment="1">
      <alignment vertical="center"/>
    </xf>
    <xf numFmtId="0" fontId="4" fillId="5" borderId="10" xfId="4" applyFont="1" applyFill="1" applyBorder="1" applyAlignment="1">
      <alignment vertical="center"/>
    </xf>
    <xf numFmtId="0" fontId="7" fillId="0" borderId="1" xfId="4" applyFont="1" applyBorder="1" applyAlignment="1">
      <alignment horizontal="center" vertical="center" wrapText="1"/>
    </xf>
    <xf numFmtId="0" fontId="6" fillId="0" borderId="1" xfId="4" applyFont="1" applyBorder="1" applyAlignment="1">
      <alignment vertical="center"/>
    </xf>
    <xf numFmtId="0" fontId="6" fillId="0" borderId="1" xfId="4" applyFont="1" applyBorder="1" applyAlignment="1">
      <alignment horizontal="center" vertical="center"/>
    </xf>
    <xf numFmtId="0" fontId="4" fillId="7" borderId="1" xfId="4" applyFont="1" applyFill="1" applyBorder="1" applyAlignment="1">
      <alignment horizontal="center" vertical="center"/>
    </xf>
    <xf numFmtId="0" fontId="13" fillId="7" borderId="1" xfId="4" applyFont="1" applyFill="1" applyBorder="1" applyAlignment="1">
      <alignment vertical="center"/>
    </xf>
    <xf numFmtId="0" fontId="7" fillId="7" borderId="1" xfId="4" applyFont="1" applyFill="1" applyBorder="1" applyAlignment="1">
      <alignment horizontal="center" vertical="center"/>
    </xf>
    <xf numFmtId="0" fontId="4" fillId="0" borderId="1" xfId="4" applyFont="1" applyBorder="1" applyAlignment="1">
      <alignment horizontal="center" vertical="center"/>
    </xf>
    <xf numFmtId="0" fontId="13" fillId="0" borderId="1" xfId="4" applyFont="1" applyBorder="1" applyAlignment="1">
      <alignment vertical="center"/>
    </xf>
    <xf numFmtId="165" fontId="13" fillId="6" borderId="0" xfId="1" applyNumberFormat="1" applyFont="1" applyFill="1" applyAlignment="1">
      <alignment vertical="center"/>
    </xf>
    <xf numFmtId="167" fontId="14" fillId="0" borderId="0" xfId="3" applyNumberFormat="1" applyFont="1"/>
    <xf numFmtId="165" fontId="5" fillId="2" borderId="1" xfId="1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  <xf numFmtId="0" fontId="2" fillId="2" borderId="0" xfId="4" applyFont="1" applyFill="1" applyAlignment="1">
      <alignment horizontal="center" vertical="center"/>
    </xf>
    <xf numFmtId="165" fontId="5" fillId="2" borderId="0" xfId="1" applyNumberFormat="1" applyFont="1" applyFill="1" applyBorder="1" applyAlignment="1">
      <alignment horizontal="center" vertical="center"/>
    </xf>
    <xf numFmtId="165" fontId="5" fillId="2" borderId="13" xfId="1" applyNumberFormat="1" applyFont="1" applyFill="1" applyBorder="1" applyAlignment="1">
      <alignment horizontal="center" vertical="center"/>
    </xf>
    <xf numFmtId="0" fontId="4" fillId="4" borderId="16" xfId="4" applyFont="1" applyFill="1" applyBorder="1" applyAlignment="1">
      <alignment horizontal="center" vertical="center"/>
    </xf>
    <xf numFmtId="0" fontId="4" fillId="4" borderId="17" xfId="4" applyFont="1" applyFill="1" applyBorder="1" applyAlignment="1">
      <alignment horizontal="center" vertical="center"/>
    </xf>
    <xf numFmtId="165" fontId="5" fillId="2" borderId="1" xfId="1" applyNumberFormat="1" applyFont="1" applyFill="1" applyBorder="1" applyAlignment="1">
      <alignment horizontal="center" vertical="center" wrapText="1"/>
    </xf>
  </cellXfs>
  <cellStyles count="5">
    <cellStyle name="Comma" xfId="3" builtinId="3"/>
    <cellStyle name="Comma 2" xfId="1" xr:uid="{C37ABFA5-FEE0-46B0-A980-97E2921C6E5A}"/>
    <cellStyle name="Normal" xfId="0" builtinId="0"/>
    <cellStyle name="Normal 2" xfId="2" xr:uid="{AEF0B9DB-C173-4789-A47D-33E928BF3013}"/>
    <cellStyle name="Normal 2 2" xfId="4" xr:uid="{688FF707-1171-47E9-B981-C027D0E578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BDF1-9A2E-4698-9E09-93B23878300F}">
  <sheetPr>
    <tabColor rgb="FF92D050"/>
  </sheetPr>
  <dimension ref="A1:AM57"/>
  <sheetViews>
    <sheetView topLeftCell="AA1" zoomScale="70" zoomScaleNormal="70" zoomScaleSheetLayoutView="100" workbookViewId="0">
      <selection activeCell="S1" sqref="S1"/>
    </sheetView>
  </sheetViews>
  <sheetFormatPr defaultColWidth="8.73046875" defaultRowHeight="13.15" x14ac:dyDescent="0.45"/>
  <cols>
    <col min="1" max="1" width="6.73046875" style="16" customWidth="1"/>
    <col min="2" max="2" width="40.59765625" style="16" customWidth="1"/>
    <col min="3" max="3" width="10.59765625" style="16" customWidth="1"/>
    <col min="4" max="4" width="6.73046875" style="16" customWidth="1"/>
    <col min="5" max="7" width="20.59765625" style="16" customWidth="1"/>
    <col min="8" max="8" width="8.73046875" style="16"/>
    <col min="9" max="9" width="6.73046875" style="16" customWidth="1"/>
    <col min="10" max="10" width="50.59765625" style="16" customWidth="1"/>
    <col min="11" max="11" width="11" style="16" customWidth="1"/>
    <col min="12" max="12" width="6.73046875" style="16" customWidth="1"/>
    <col min="13" max="15" width="20.59765625" style="16" customWidth="1"/>
    <col min="16" max="16" width="8.73046875" style="16"/>
    <col min="17" max="17" width="6.73046875" style="16" customWidth="1"/>
    <col min="18" max="18" width="50.59765625" style="16" customWidth="1"/>
    <col min="19" max="19" width="11" style="16" customWidth="1"/>
    <col min="20" max="20" width="6.73046875" style="16" customWidth="1"/>
    <col min="21" max="23" width="20.59765625" style="16" customWidth="1"/>
    <col min="24" max="24" width="8.73046875" style="16"/>
    <col min="25" max="25" width="6.73046875" style="16" customWidth="1"/>
    <col min="26" max="26" width="50.59765625" style="16" customWidth="1"/>
    <col min="27" max="27" width="11" style="16" customWidth="1"/>
    <col min="28" max="28" width="6.73046875" style="16" customWidth="1"/>
    <col min="29" max="31" width="20.59765625" style="16" customWidth="1"/>
    <col min="32" max="32" width="8.73046875" style="16"/>
    <col min="33" max="33" width="6.73046875" style="16" customWidth="1"/>
    <col min="34" max="34" width="50.59765625" style="16" customWidth="1"/>
    <col min="35" max="35" width="10.59765625" style="16" customWidth="1"/>
    <col min="36" max="36" width="6.73046875" style="16" customWidth="1"/>
    <col min="37" max="39" width="20.59765625" style="16" customWidth="1"/>
    <col min="40" max="16384" width="8.73046875" style="16"/>
  </cols>
  <sheetData>
    <row r="1" spans="1:39" ht="31.15" customHeight="1" x14ac:dyDescent="0.45">
      <c r="A1" s="101" t="s">
        <v>0</v>
      </c>
      <c r="B1" s="101"/>
      <c r="I1" s="101" t="s">
        <v>0</v>
      </c>
      <c r="J1" s="101"/>
      <c r="Q1" s="101" t="s">
        <v>0</v>
      </c>
      <c r="R1" s="101"/>
      <c r="Y1" s="101" t="s">
        <v>0</v>
      </c>
      <c r="Z1" s="101"/>
      <c r="AG1" s="101" t="s">
        <v>0</v>
      </c>
      <c r="AH1" s="101"/>
    </row>
    <row r="2" spans="1:39" x14ac:dyDescent="0.45">
      <c r="A2" s="17" t="s">
        <v>1</v>
      </c>
      <c r="B2" s="18"/>
      <c r="I2" s="17" t="s">
        <v>1</v>
      </c>
      <c r="J2" s="18"/>
      <c r="Q2" s="17" t="s">
        <v>1</v>
      </c>
      <c r="R2" s="18"/>
      <c r="Y2" s="17" t="s">
        <v>1</v>
      </c>
      <c r="Z2" s="18"/>
      <c r="AG2" s="17" t="s">
        <v>1</v>
      </c>
      <c r="AH2" s="18"/>
    </row>
    <row r="3" spans="1:39" x14ac:dyDescent="0.45">
      <c r="A3" s="102" t="s">
        <v>2</v>
      </c>
      <c r="B3" s="102"/>
      <c r="C3" s="102"/>
      <c r="D3" s="102"/>
      <c r="E3" s="19"/>
      <c r="I3" s="102" t="s">
        <v>2</v>
      </c>
      <c r="J3" s="102"/>
      <c r="K3" s="102"/>
      <c r="L3" s="102"/>
      <c r="Q3" s="102" t="s">
        <v>2</v>
      </c>
      <c r="R3" s="102"/>
      <c r="S3" s="102"/>
      <c r="T3" s="102"/>
      <c r="Y3" s="102" t="s">
        <v>2</v>
      </c>
      <c r="Z3" s="102"/>
      <c r="AA3" s="102"/>
      <c r="AB3" s="102"/>
      <c r="AG3" s="102" t="s">
        <v>2</v>
      </c>
      <c r="AH3" s="102"/>
      <c r="AI3" s="102"/>
      <c r="AJ3" s="102"/>
    </row>
    <row r="4" spans="1:39" x14ac:dyDescent="0.45">
      <c r="B4" s="17"/>
    </row>
    <row r="5" spans="1:39" ht="25.15" customHeight="1" thickBot="1" x14ac:dyDescent="0.5">
      <c r="B5" s="17"/>
      <c r="F5" s="96" t="s">
        <v>3</v>
      </c>
      <c r="G5" s="96"/>
      <c r="J5" s="17"/>
      <c r="M5" s="56">
        <v>1.1000000000000001</v>
      </c>
      <c r="N5" s="96" t="s">
        <v>4</v>
      </c>
      <c r="O5" s="96"/>
      <c r="R5" s="17"/>
      <c r="U5" s="56">
        <v>1.1000000000000001</v>
      </c>
      <c r="V5" s="108" t="s">
        <v>5</v>
      </c>
      <c r="W5" s="108"/>
      <c r="Z5" s="17"/>
      <c r="AC5" s="56">
        <v>1.1499999999999999</v>
      </c>
      <c r="AD5" s="96" t="s">
        <v>6</v>
      </c>
      <c r="AE5" s="96"/>
      <c r="AH5" s="17"/>
      <c r="AK5" s="56">
        <v>1.1499999999999999</v>
      </c>
      <c r="AL5" s="96" t="s">
        <v>7</v>
      </c>
      <c r="AM5" s="96"/>
    </row>
    <row r="6" spans="1:39" s="25" customFormat="1" ht="13.5" thickBot="1" x14ac:dyDescent="0.5">
      <c r="A6" s="20" t="s">
        <v>8</v>
      </c>
      <c r="B6" s="21" t="s">
        <v>9</v>
      </c>
      <c r="C6" s="97" t="s">
        <v>10</v>
      </c>
      <c r="D6" s="98"/>
      <c r="E6" s="22" t="s">
        <v>11</v>
      </c>
      <c r="F6" s="23" t="s">
        <v>12</v>
      </c>
      <c r="G6" s="24" t="s">
        <v>13</v>
      </c>
      <c r="I6" s="20" t="s">
        <v>8</v>
      </c>
      <c r="J6" s="21" t="s">
        <v>9</v>
      </c>
      <c r="K6" s="97" t="s">
        <v>10</v>
      </c>
      <c r="L6" s="98"/>
      <c r="M6" s="22" t="s">
        <v>11</v>
      </c>
      <c r="N6" s="23" t="s">
        <v>12</v>
      </c>
      <c r="O6" s="24" t="s">
        <v>13</v>
      </c>
      <c r="Q6" s="20" t="s">
        <v>8</v>
      </c>
      <c r="R6" s="21" t="s">
        <v>9</v>
      </c>
      <c r="S6" s="97" t="s">
        <v>10</v>
      </c>
      <c r="T6" s="98"/>
      <c r="U6" s="22" t="s">
        <v>11</v>
      </c>
      <c r="V6" s="23" t="s">
        <v>12</v>
      </c>
      <c r="W6" s="24" t="s">
        <v>13</v>
      </c>
      <c r="Y6" s="20" t="s">
        <v>8</v>
      </c>
      <c r="Z6" s="21" t="s">
        <v>9</v>
      </c>
      <c r="AA6" s="97" t="s">
        <v>10</v>
      </c>
      <c r="AB6" s="98"/>
      <c r="AC6" s="22" t="s">
        <v>11</v>
      </c>
      <c r="AD6" s="23" t="s">
        <v>12</v>
      </c>
      <c r="AE6" s="24" t="s">
        <v>13</v>
      </c>
      <c r="AG6" s="20" t="s">
        <v>8</v>
      </c>
      <c r="AH6" s="21" t="s">
        <v>9</v>
      </c>
      <c r="AI6" s="97" t="s">
        <v>10</v>
      </c>
      <c r="AJ6" s="98"/>
      <c r="AK6" s="22" t="s">
        <v>11</v>
      </c>
      <c r="AL6" s="23" t="s">
        <v>12</v>
      </c>
      <c r="AM6" s="24" t="s">
        <v>13</v>
      </c>
    </row>
    <row r="7" spans="1:39" x14ac:dyDescent="0.45">
      <c r="A7" s="99"/>
      <c r="B7" s="100"/>
      <c r="C7" s="100"/>
      <c r="D7" s="100"/>
      <c r="E7" s="26"/>
      <c r="I7" s="99"/>
      <c r="J7" s="100"/>
      <c r="K7" s="100"/>
      <c r="L7" s="100"/>
      <c r="M7" s="26"/>
      <c r="Q7" s="99"/>
      <c r="R7" s="100"/>
      <c r="S7" s="100"/>
      <c r="T7" s="100"/>
      <c r="U7" s="26"/>
      <c r="Y7" s="99"/>
      <c r="Z7" s="100"/>
      <c r="AA7" s="100"/>
      <c r="AB7" s="100"/>
      <c r="AC7" s="26"/>
      <c r="AG7" s="99"/>
      <c r="AH7" s="100"/>
      <c r="AI7" s="100"/>
      <c r="AJ7" s="100"/>
      <c r="AK7" s="26"/>
    </row>
    <row r="8" spans="1:39" x14ac:dyDescent="0.45">
      <c r="A8" s="27" t="s">
        <v>14</v>
      </c>
      <c r="B8" s="28" t="s">
        <v>15</v>
      </c>
      <c r="C8" s="28">
        <v>1</v>
      </c>
      <c r="D8" s="28" t="s">
        <v>16</v>
      </c>
      <c r="E8" s="28"/>
      <c r="F8" s="29"/>
      <c r="G8" s="29">
        <f>SUM(G9:G11)</f>
        <v>7000000</v>
      </c>
      <c r="I8" s="27" t="s">
        <v>14</v>
      </c>
      <c r="J8" s="28" t="s">
        <v>15</v>
      </c>
      <c r="K8" s="28">
        <v>1</v>
      </c>
      <c r="L8" s="28" t="s">
        <v>16</v>
      </c>
      <c r="M8" s="28"/>
      <c r="N8" s="29"/>
      <c r="O8" s="29">
        <f>SUM(O9:O11)</f>
        <v>7500000</v>
      </c>
      <c r="Q8" s="27" t="s">
        <v>14</v>
      </c>
      <c r="R8" s="28" t="s">
        <v>15</v>
      </c>
      <c r="S8" s="28">
        <v>1</v>
      </c>
      <c r="T8" s="28" t="s">
        <v>16</v>
      </c>
      <c r="U8" s="28"/>
      <c r="V8" s="29"/>
      <c r="W8" s="29">
        <f>SUM(W9:W11)</f>
        <v>7500000</v>
      </c>
      <c r="Y8" s="27" t="s">
        <v>14</v>
      </c>
      <c r="Z8" s="28" t="s">
        <v>15</v>
      </c>
      <c r="AA8" s="28">
        <v>1</v>
      </c>
      <c r="AB8" s="28" t="s">
        <v>16</v>
      </c>
      <c r="AC8" s="28"/>
      <c r="AD8" s="29"/>
      <c r="AE8" s="29">
        <f>SUM(AE9:AE11)</f>
        <v>7500000</v>
      </c>
      <c r="AG8" s="27" t="s">
        <v>14</v>
      </c>
      <c r="AH8" s="28" t="s">
        <v>15</v>
      </c>
      <c r="AI8" s="28">
        <v>1</v>
      </c>
      <c r="AJ8" s="28" t="s">
        <v>16</v>
      </c>
      <c r="AK8" s="28"/>
      <c r="AL8" s="29"/>
      <c r="AM8" s="29">
        <f>SUM(AM9:AM11)</f>
        <v>8000000</v>
      </c>
    </row>
    <row r="9" spans="1:39" x14ac:dyDescent="0.45">
      <c r="A9" s="4">
        <v>1</v>
      </c>
      <c r="B9" s="30" t="s">
        <v>17</v>
      </c>
      <c r="C9" s="30">
        <v>23000</v>
      </c>
      <c r="D9" s="30" t="s">
        <v>18</v>
      </c>
      <c r="E9" s="30"/>
      <c r="F9" s="31">
        <v>86</v>
      </c>
      <c r="G9" s="31">
        <f>C9*F9</f>
        <v>1978000</v>
      </c>
      <c r="I9" s="4">
        <v>1</v>
      </c>
      <c r="J9" s="30" t="s">
        <v>17</v>
      </c>
      <c r="K9" s="30">
        <v>23000</v>
      </c>
      <c r="L9" s="30" t="s">
        <v>18</v>
      </c>
      <c r="M9" s="30"/>
      <c r="N9" s="31">
        <v>86</v>
      </c>
      <c r="O9" s="31">
        <f>K9*N9</f>
        <v>1978000</v>
      </c>
      <c r="Q9" s="4">
        <v>1</v>
      </c>
      <c r="R9" s="30" t="s">
        <v>17</v>
      </c>
      <c r="S9" s="30">
        <v>23000</v>
      </c>
      <c r="T9" s="30" t="s">
        <v>18</v>
      </c>
      <c r="U9" s="30"/>
      <c r="V9" s="31">
        <v>86</v>
      </c>
      <c r="W9" s="31">
        <f>S9*V9</f>
        <v>1978000</v>
      </c>
      <c r="Y9" s="4">
        <v>1</v>
      </c>
      <c r="Z9" s="30" t="s">
        <v>17</v>
      </c>
      <c r="AA9" s="30">
        <v>23000</v>
      </c>
      <c r="AB9" s="30" t="s">
        <v>18</v>
      </c>
      <c r="AC9" s="30"/>
      <c r="AD9" s="31">
        <v>86</v>
      </c>
      <c r="AE9" s="31">
        <f>AA9*AD9</f>
        <v>1978000</v>
      </c>
      <c r="AG9" s="4">
        <v>1</v>
      </c>
      <c r="AH9" s="30" t="s">
        <v>17</v>
      </c>
      <c r="AI9" s="30">
        <v>23000</v>
      </c>
      <c r="AJ9" s="30" t="s">
        <v>18</v>
      </c>
      <c r="AK9" s="30"/>
      <c r="AL9" s="31">
        <v>86</v>
      </c>
      <c r="AM9" s="31">
        <f>AI9*AL9</f>
        <v>1978000</v>
      </c>
    </row>
    <row r="10" spans="1:39" x14ac:dyDescent="0.45">
      <c r="A10" s="4">
        <v>2</v>
      </c>
      <c r="B10" s="30" t="s">
        <v>19</v>
      </c>
      <c r="C10" s="30">
        <v>23000</v>
      </c>
      <c r="D10" s="30" t="s">
        <v>18</v>
      </c>
      <c r="E10" s="30"/>
      <c r="F10" s="31">
        <v>86</v>
      </c>
      <c r="G10" s="31">
        <f>C10*F10</f>
        <v>1978000</v>
      </c>
      <c r="I10" s="4">
        <v>2</v>
      </c>
      <c r="J10" s="30" t="s">
        <v>19</v>
      </c>
      <c r="K10" s="30">
        <v>23000</v>
      </c>
      <c r="L10" s="30" t="s">
        <v>18</v>
      </c>
      <c r="M10" s="30"/>
      <c r="N10" s="31">
        <v>86</v>
      </c>
      <c r="O10" s="31">
        <f>K10*N10</f>
        <v>1978000</v>
      </c>
      <c r="Q10" s="4">
        <v>2</v>
      </c>
      <c r="R10" s="30" t="s">
        <v>19</v>
      </c>
      <c r="S10" s="30">
        <v>23000</v>
      </c>
      <c r="T10" s="30" t="s">
        <v>18</v>
      </c>
      <c r="U10" s="30"/>
      <c r="V10" s="31">
        <v>86</v>
      </c>
      <c r="W10" s="31">
        <f>S10*V10</f>
        <v>1978000</v>
      </c>
      <c r="Y10" s="4">
        <v>2</v>
      </c>
      <c r="Z10" s="30" t="s">
        <v>19</v>
      </c>
      <c r="AA10" s="30">
        <v>23000</v>
      </c>
      <c r="AB10" s="30" t="s">
        <v>18</v>
      </c>
      <c r="AC10" s="30"/>
      <c r="AD10" s="31">
        <v>86</v>
      </c>
      <c r="AE10" s="31">
        <f>AA10*AD10</f>
        <v>1978000</v>
      </c>
      <c r="AG10" s="4">
        <v>2</v>
      </c>
      <c r="AH10" s="30" t="s">
        <v>19</v>
      </c>
      <c r="AI10" s="30">
        <v>23000</v>
      </c>
      <c r="AJ10" s="30" t="s">
        <v>18</v>
      </c>
      <c r="AK10" s="30"/>
      <c r="AL10" s="31">
        <v>86</v>
      </c>
      <c r="AM10" s="31">
        <f>AI10*AL10</f>
        <v>1978000</v>
      </c>
    </row>
    <row r="11" spans="1:39" x14ac:dyDescent="0.45">
      <c r="A11" s="4">
        <v>3</v>
      </c>
      <c r="B11" s="30" t="s">
        <v>20</v>
      </c>
      <c r="C11" s="30">
        <v>1</v>
      </c>
      <c r="D11" s="30" t="s">
        <v>16</v>
      </c>
      <c r="E11" s="30"/>
      <c r="F11" s="31">
        <v>3044000</v>
      </c>
      <c r="G11" s="31">
        <f>C11*F11</f>
        <v>3044000</v>
      </c>
      <c r="I11" s="4">
        <v>3</v>
      </c>
      <c r="J11" s="30" t="s">
        <v>20</v>
      </c>
      <c r="K11" s="30">
        <v>1</v>
      </c>
      <c r="L11" s="30" t="s">
        <v>16</v>
      </c>
      <c r="M11" s="30"/>
      <c r="N11" s="36">
        <v>3544000</v>
      </c>
      <c r="O11" s="31">
        <f>K11*N11</f>
        <v>3544000</v>
      </c>
      <c r="Q11" s="4">
        <v>3</v>
      </c>
      <c r="R11" s="30" t="s">
        <v>20</v>
      </c>
      <c r="S11" s="30">
        <v>1</v>
      </c>
      <c r="T11" s="30" t="s">
        <v>16</v>
      </c>
      <c r="U11" s="30"/>
      <c r="V11" s="36">
        <v>3544000</v>
      </c>
      <c r="W11" s="31">
        <f>S11*V11</f>
        <v>3544000</v>
      </c>
      <c r="Y11" s="4">
        <v>3</v>
      </c>
      <c r="Z11" s="30" t="s">
        <v>20</v>
      </c>
      <c r="AA11" s="30">
        <v>1</v>
      </c>
      <c r="AB11" s="30" t="s">
        <v>16</v>
      </c>
      <c r="AC11" s="30"/>
      <c r="AD11" s="36">
        <v>3544000</v>
      </c>
      <c r="AE11" s="31">
        <f>AA11*AD11</f>
        <v>3544000</v>
      </c>
      <c r="AG11" s="4">
        <v>3</v>
      </c>
      <c r="AH11" s="30" t="s">
        <v>20</v>
      </c>
      <c r="AI11" s="30">
        <v>1</v>
      </c>
      <c r="AJ11" s="30" t="s">
        <v>16</v>
      </c>
      <c r="AK11" s="30"/>
      <c r="AL11" s="36">
        <v>4044000</v>
      </c>
      <c r="AM11" s="31">
        <f>AI11*AL11</f>
        <v>4044000</v>
      </c>
    </row>
    <row r="12" spans="1:39" x14ac:dyDescent="0.45">
      <c r="A12" s="4"/>
      <c r="B12" s="30"/>
      <c r="C12" s="30"/>
      <c r="D12" s="30"/>
      <c r="E12" s="30"/>
      <c r="F12" s="31"/>
      <c r="G12" s="31"/>
      <c r="I12" s="4"/>
      <c r="J12" s="30"/>
      <c r="K12" s="30"/>
      <c r="L12" s="30"/>
      <c r="M12" s="30"/>
      <c r="N12" s="31"/>
      <c r="O12" s="31"/>
      <c r="Q12" s="4"/>
      <c r="R12" s="30"/>
      <c r="S12" s="30"/>
      <c r="T12" s="30"/>
      <c r="U12" s="30"/>
      <c r="V12" s="31"/>
      <c r="W12" s="31"/>
      <c r="Y12" s="4"/>
      <c r="Z12" s="30"/>
      <c r="AA12" s="30"/>
      <c r="AB12" s="30"/>
      <c r="AC12" s="30"/>
      <c r="AD12" s="31"/>
      <c r="AE12" s="31"/>
      <c r="AG12" s="4"/>
      <c r="AH12" s="30"/>
      <c r="AI12" s="30"/>
      <c r="AJ12" s="30"/>
      <c r="AK12" s="30"/>
      <c r="AL12" s="31"/>
      <c r="AM12" s="31"/>
    </row>
    <row r="13" spans="1:39" x14ac:dyDescent="0.45">
      <c r="A13" s="27" t="s">
        <v>21</v>
      </c>
      <c r="B13" s="28" t="s">
        <v>22</v>
      </c>
      <c r="C13" s="32">
        <v>1</v>
      </c>
      <c r="D13" s="32" t="s">
        <v>23</v>
      </c>
      <c r="E13" s="32"/>
      <c r="F13" s="33"/>
      <c r="G13" s="29">
        <f>SUM(G14:G18)</f>
        <v>11600000</v>
      </c>
      <c r="I13" s="27" t="s">
        <v>21</v>
      </c>
      <c r="J13" s="28" t="s">
        <v>22</v>
      </c>
      <c r="K13" s="32">
        <v>1</v>
      </c>
      <c r="L13" s="32" t="s">
        <v>23</v>
      </c>
      <c r="M13" s="32"/>
      <c r="N13" s="33"/>
      <c r="O13" s="29">
        <f>SUM(O14:O18)</f>
        <v>12760000</v>
      </c>
      <c r="Q13" s="27" t="s">
        <v>21</v>
      </c>
      <c r="R13" s="28" t="s">
        <v>22</v>
      </c>
      <c r="S13" s="32">
        <v>1</v>
      </c>
      <c r="T13" s="32" t="s">
        <v>23</v>
      </c>
      <c r="U13" s="32"/>
      <c r="V13" s="33"/>
      <c r="W13" s="29">
        <f>SUM(W14:W18)</f>
        <v>12760000</v>
      </c>
      <c r="Y13" s="27" t="s">
        <v>21</v>
      </c>
      <c r="Z13" s="28" t="s">
        <v>22</v>
      </c>
      <c r="AA13" s="32">
        <v>1</v>
      </c>
      <c r="AB13" s="32" t="s">
        <v>23</v>
      </c>
      <c r="AC13" s="32"/>
      <c r="AD13" s="33"/>
      <c r="AE13" s="29">
        <f>SUM(AE14:AE18)</f>
        <v>13340000</v>
      </c>
      <c r="AG13" s="27" t="s">
        <v>21</v>
      </c>
      <c r="AH13" s="28" t="s">
        <v>22</v>
      </c>
      <c r="AI13" s="32">
        <v>1</v>
      </c>
      <c r="AJ13" s="32" t="s">
        <v>23</v>
      </c>
      <c r="AK13" s="32"/>
      <c r="AL13" s="33"/>
      <c r="AM13" s="29">
        <f>SUM(AM14:AM18)</f>
        <v>13340000</v>
      </c>
    </row>
    <row r="14" spans="1:39" ht="26.25" x14ac:dyDescent="0.45">
      <c r="A14" s="4">
        <v>1</v>
      </c>
      <c r="B14" s="34" t="s">
        <v>24</v>
      </c>
      <c r="C14" s="35">
        <v>1</v>
      </c>
      <c r="D14" s="35" t="s">
        <v>23</v>
      </c>
      <c r="E14" s="35" t="s">
        <v>25</v>
      </c>
      <c r="F14" s="36">
        <v>4000000</v>
      </c>
      <c r="G14" s="31">
        <f>C14*F14</f>
        <v>4000000</v>
      </c>
      <c r="I14" s="4">
        <v>1</v>
      </c>
      <c r="J14" s="34" t="s">
        <v>24</v>
      </c>
      <c r="K14" s="35">
        <v>1</v>
      </c>
      <c r="L14" s="35" t="s">
        <v>23</v>
      </c>
      <c r="M14" s="35" t="s">
        <v>25</v>
      </c>
      <c r="N14" s="36">
        <f>F14*$M$5</f>
        <v>4400000</v>
      </c>
      <c r="O14" s="31">
        <f>K14*N14</f>
        <v>4400000</v>
      </c>
      <c r="Q14" s="4">
        <v>1</v>
      </c>
      <c r="R14" s="34" t="s">
        <v>24</v>
      </c>
      <c r="S14" s="35">
        <v>1</v>
      </c>
      <c r="T14" s="35" t="s">
        <v>23</v>
      </c>
      <c r="U14" s="35" t="s">
        <v>25</v>
      </c>
      <c r="V14" s="36">
        <f>F14*$U$5</f>
        <v>4400000</v>
      </c>
      <c r="W14" s="31">
        <f>S14*V14</f>
        <v>4400000</v>
      </c>
      <c r="Y14" s="4">
        <v>1</v>
      </c>
      <c r="Z14" s="34" t="s">
        <v>24</v>
      </c>
      <c r="AA14" s="35">
        <v>1</v>
      </c>
      <c r="AB14" s="35" t="s">
        <v>23</v>
      </c>
      <c r="AC14" s="35" t="s">
        <v>25</v>
      </c>
      <c r="AD14" s="36">
        <f>F14*$AC$5</f>
        <v>4600000</v>
      </c>
      <c r="AE14" s="31">
        <f>AA14*AD14</f>
        <v>4600000</v>
      </c>
      <c r="AG14" s="4">
        <v>1</v>
      </c>
      <c r="AH14" s="34" t="s">
        <v>24</v>
      </c>
      <c r="AI14" s="35">
        <v>1</v>
      </c>
      <c r="AJ14" s="35" t="s">
        <v>23</v>
      </c>
      <c r="AK14" s="35" t="s">
        <v>25</v>
      </c>
      <c r="AL14" s="36">
        <f>F14*$AK$5</f>
        <v>4600000</v>
      </c>
      <c r="AM14" s="31">
        <f>AI14*AL14</f>
        <v>4600000</v>
      </c>
    </row>
    <row r="15" spans="1:39" x14ac:dyDescent="0.45">
      <c r="A15" s="4">
        <v>2</v>
      </c>
      <c r="B15" s="30" t="s">
        <v>26</v>
      </c>
      <c r="C15" s="35">
        <v>1</v>
      </c>
      <c r="D15" s="35" t="s">
        <v>23</v>
      </c>
      <c r="E15" s="35" t="s">
        <v>25</v>
      </c>
      <c r="F15" s="31">
        <v>1000000</v>
      </c>
      <c r="G15" s="31">
        <f>C15*F15</f>
        <v>1000000</v>
      </c>
      <c r="I15" s="4">
        <v>2</v>
      </c>
      <c r="J15" s="30" t="s">
        <v>26</v>
      </c>
      <c r="K15" s="35">
        <v>1</v>
      </c>
      <c r="L15" s="35" t="s">
        <v>23</v>
      </c>
      <c r="M15" s="35" t="s">
        <v>25</v>
      </c>
      <c r="N15" s="36">
        <f>F15*$M$5</f>
        <v>1100000</v>
      </c>
      <c r="O15" s="31">
        <f>K15*N15</f>
        <v>1100000</v>
      </c>
      <c r="Q15" s="4">
        <v>2</v>
      </c>
      <c r="R15" s="30" t="s">
        <v>26</v>
      </c>
      <c r="S15" s="35">
        <v>1</v>
      </c>
      <c r="T15" s="35" t="s">
        <v>23</v>
      </c>
      <c r="U15" s="35" t="s">
        <v>25</v>
      </c>
      <c r="V15" s="36">
        <f>F15*$U$5</f>
        <v>1100000</v>
      </c>
      <c r="W15" s="31">
        <f>S15*V15</f>
        <v>1100000</v>
      </c>
      <c r="Y15" s="4">
        <v>2</v>
      </c>
      <c r="Z15" s="30" t="s">
        <v>26</v>
      </c>
      <c r="AA15" s="35">
        <v>1</v>
      </c>
      <c r="AB15" s="35" t="s">
        <v>23</v>
      </c>
      <c r="AC15" s="35" t="s">
        <v>25</v>
      </c>
      <c r="AD15" s="36">
        <f>F15*$AC$5</f>
        <v>1150000</v>
      </c>
      <c r="AE15" s="31">
        <f>AA15*AD15</f>
        <v>1150000</v>
      </c>
      <c r="AG15" s="4">
        <v>2</v>
      </c>
      <c r="AH15" s="30" t="s">
        <v>26</v>
      </c>
      <c r="AI15" s="35">
        <v>1</v>
      </c>
      <c r="AJ15" s="35" t="s">
        <v>23</v>
      </c>
      <c r="AK15" s="35" t="s">
        <v>25</v>
      </c>
      <c r="AL15" s="36">
        <f>F15*$AK$5</f>
        <v>1150000</v>
      </c>
      <c r="AM15" s="31">
        <f>AI15*AL15</f>
        <v>1150000</v>
      </c>
    </row>
    <row r="16" spans="1:39" x14ac:dyDescent="0.45">
      <c r="A16" s="4">
        <v>3</v>
      </c>
      <c r="B16" s="35" t="s">
        <v>27</v>
      </c>
      <c r="C16" s="35">
        <v>1</v>
      </c>
      <c r="D16" s="35" t="s">
        <v>23</v>
      </c>
      <c r="E16" s="35" t="s">
        <v>25</v>
      </c>
      <c r="F16" s="36">
        <v>4500000</v>
      </c>
      <c r="G16" s="31">
        <f>C16*F16</f>
        <v>4500000</v>
      </c>
      <c r="I16" s="4">
        <v>3</v>
      </c>
      <c r="J16" s="35" t="s">
        <v>27</v>
      </c>
      <c r="K16" s="35">
        <v>1</v>
      </c>
      <c r="L16" s="35" t="s">
        <v>23</v>
      </c>
      <c r="M16" s="35" t="s">
        <v>25</v>
      </c>
      <c r="N16" s="36">
        <f>F16*$M$5</f>
        <v>4950000</v>
      </c>
      <c r="O16" s="31">
        <f>K16*N16</f>
        <v>4950000</v>
      </c>
      <c r="Q16" s="4">
        <v>3</v>
      </c>
      <c r="R16" s="35" t="s">
        <v>27</v>
      </c>
      <c r="S16" s="35">
        <v>1</v>
      </c>
      <c r="T16" s="35" t="s">
        <v>23</v>
      </c>
      <c r="U16" s="35" t="s">
        <v>25</v>
      </c>
      <c r="V16" s="36">
        <f>F16*$U$5</f>
        <v>4950000</v>
      </c>
      <c r="W16" s="31">
        <f>S16*V16</f>
        <v>4950000</v>
      </c>
      <c r="Y16" s="4">
        <v>3</v>
      </c>
      <c r="Z16" s="35" t="s">
        <v>27</v>
      </c>
      <c r="AA16" s="35">
        <v>1</v>
      </c>
      <c r="AB16" s="35" t="s">
        <v>23</v>
      </c>
      <c r="AC16" s="35" t="s">
        <v>25</v>
      </c>
      <c r="AD16" s="36">
        <f>F16*$AC$5</f>
        <v>5175000</v>
      </c>
      <c r="AE16" s="31">
        <f>AA16*AD16</f>
        <v>5175000</v>
      </c>
      <c r="AG16" s="4">
        <v>3</v>
      </c>
      <c r="AH16" s="35" t="s">
        <v>27</v>
      </c>
      <c r="AI16" s="35">
        <v>1</v>
      </c>
      <c r="AJ16" s="35" t="s">
        <v>23</v>
      </c>
      <c r="AK16" s="35" t="s">
        <v>25</v>
      </c>
      <c r="AL16" s="36">
        <f>F16*$AK$5</f>
        <v>5175000</v>
      </c>
      <c r="AM16" s="31">
        <f>AI16*AL16</f>
        <v>5175000</v>
      </c>
    </row>
    <row r="17" spans="1:39" x14ac:dyDescent="0.45">
      <c r="A17" s="4">
        <v>4</v>
      </c>
      <c r="B17" s="35" t="s">
        <v>28</v>
      </c>
      <c r="C17" s="35">
        <v>1</v>
      </c>
      <c r="D17" s="35" t="s">
        <v>23</v>
      </c>
      <c r="E17" s="35" t="s">
        <v>25</v>
      </c>
      <c r="F17" s="36">
        <v>1500000</v>
      </c>
      <c r="G17" s="31">
        <f t="shared" ref="G17:G18" si="0">C17*F17</f>
        <v>1500000</v>
      </c>
      <c r="I17" s="4">
        <v>4</v>
      </c>
      <c r="J17" s="35" t="s">
        <v>28</v>
      </c>
      <c r="K17" s="35">
        <v>1</v>
      </c>
      <c r="L17" s="35" t="s">
        <v>23</v>
      </c>
      <c r="M17" s="35" t="s">
        <v>25</v>
      </c>
      <c r="N17" s="36">
        <f>F17*$M$5</f>
        <v>1650000.0000000002</v>
      </c>
      <c r="O17" s="31">
        <f t="shared" ref="O17:O18" si="1">K17*N17</f>
        <v>1650000.0000000002</v>
      </c>
      <c r="Q17" s="4">
        <v>4</v>
      </c>
      <c r="R17" s="35" t="s">
        <v>28</v>
      </c>
      <c r="S17" s="35">
        <v>1</v>
      </c>
      <c r="T17" s="35" t="s">
        <v>23</v>
      </c>
      <c r="U17" s="35" t="s">
        <v>25</v>
      </c>
      <c r="V17" s="36">
        <f>F17*$U$5</f>
        <v>1650000.0000000002</v>
      </c>
      <c r="W17" s="31">
        <f t="shared" ref="W17:W18" si="2">S17*V17</f>
        <v>1650000.0000000002</v>
      </c>
      <c r="Y17" s="4">
        <v>4</v>
      </c>
      <c r="Z17" s="35" t="s">
        <v>28</v>
      </c>
      <c r="AA17" s="35">
        <v>1</v>
      </c>
      <c r="AB17" s="35" t="s">
        <v>23</v>
      </c>
      <c r="AC17" s="35" t="s">
        <v>25</v>
      </c>
      <c r="AD17" s="36">
        <f>F17*$AC$5</f>
        <v>1724999.9999999998</v>
      </c>
      <c r="AE17" s="31">
        <f t="shared" ref="AE17:AE18" si="3">AA17*AD17</f>
        <v>1724999.9999999998</v>
      </c>
      <c r="AG17" s="4">
        <v>4</v>
      </c>
      <c r="AH17" s="35" t="s">
        <v>28</v>
      </c>
      <c r="AI17" s="35">
        <v>1</v>
      </c>
      <c r="AJ17" s="35" t="s">
        <v>23</v>
      </c>
      <c r="AK17" s="35" t="s">
        <v>25</v>
      </c>
      <c r="AL17" s="36">
        <f>F17*$AK$5</f>
        <v>1724999.9999999998</v>
      </c>
      <c r="AM17" s="31">
        <f t="shared" ref="AM17:AM18" si="4">AI17*AL17</f>
        <v>1724999.9999999998</v>
      </c>
    </row>
    <row r="18" spans="1:39" x14ac:dyDescent="0.45">
      <c r="A18" s="4">
        <v>5</v>
      </c>
      <c r="B18" s="35" t="s">
        <v>29</v>
      </c>
      <c r="C18" s="35">
        <v>6</v>
      </c>
      <c r="D18" s="35" t="s">
        <v>23</v>
      </c>
      <c r="E18" s="35" t="s">
        <v>25</v>
      </c>
      <c r="F18" s="36">
        <v>100000</v>
      </c>
      <c r="G18" s="31">
        <f t="shared" si="0"/>
        <v>600000</v>
      </c>
      <c r="I18" s="4">
        <v>5</v>
      </c>
      <c r="J18" s="35" t="s">
        <v>30</v>
      </c>
      <c r="K18" s="35">
        <v>6</v>
      </c>
      <c r="L18" s="35" t="s">
        <v>23</v>
      </c>
      <c r="M18" s="35" t="s">
        <v>25</v>
      </c>
      <c r="N18" s="36">
        <f>F18*$M$5</f>
        <v>110000.00000000001</v>
      </c>
      <c r="O18" s="31">
        <f t="shared" si="1"/>
        <v>660000.00000000012</v>
      </c>
      <c r="Q18" s="4">
        <v>5</v>
      </c>
      <c r="R18" s="35" t="s">
        <v>30</v>
      </c>
      <c r="S18" s="35">
        <v>6</v>
      </c>
      <c r="T18" s="35" t="s">
        <v>23</v>
      </c>
      <c r="U18" s="35" t="s">
        <v>25</v>
      </c>
      <c r="V18" s="36">
        <f>F18*$U$5</f>
        <v>110000.00000000001</v>
      </c>
      <c r="W18" s="31">
        <f t="shared" si="2"/>
        <v>660000.00000000012</v>
      </c>
      <c r="Y18" s="4">
        <v>5</v>
      </c>
      <c r="Z18" s="35" t="s">
        <v>30</v>
      </c>
      <c r="AA18" s="35">
        <v>6</v>
      </c>
      <c r="AB18" s="35" t="s">
        <v>23</v>
      </c>
      <c r="AC18" s="35" t="s">
        <v>25</v>
      </c>
      <c r="AD18" s="36">
        <f>F18*$AC$5</f>
        <v>114999.99999999999</v>
      </c>
      <c r="AE18" s="31">
        <f t="shared" si="3"/>
        <v>689999.99999999988</v>
      </c>
      <c r="AG18" s="4">
        <v>5</v>
      </c>
      <c r="AH18" s="35" t="s">
        <v>30</v>
      </c>
      <c r="AI18" s="35">
        <v>6</v>
      </c>
      <c r="AJ18" s="35" t="s">
        <v>23</v>
      </c>
      <c r="AK18" s="35" t="s">
        <v>25</v>
      </c>
      <c r="AL18" s="36">
        <f>F18*$AK$5</f>
        <v>114999.99999999999</v>
      </c>
      <c r="AM18" s="31">
        <f t="shared" si="4"/>
        <v>689999.99999999988</v>
      </c>
    </row>
    <row r="19" spans="1:39" x14ac:dyDescent="0.45">
      <c r="A19" s="4"/>
      <c r="B19" s="30"/>
      <c r="C19" s="35"/>
      <c r="D19" s="35"/>
      <c r="E19" s="35"/>
      <c r="F19" s="31"/>
      <c r="G19" s="31"/>
      <c r="I19" s="4"/>
      <c r="J19" s="30"/>
      <c r="K19" s="35"/>
      <c r="L19" s="35"/>
      <c r="M19" s="35"/>
      <c r="N19" s="31"/>
      <c r="O19" s="31"/>
      <c r="Q19" s="4"/>
      <c r="R19" s="30"/>
      <c r="S19" s="35"/>
      <c r="T19" s="35"/>
      <c r="U19" s="35"/>
      <c r="V19" s="31"/>
      <c r="W19" s="31"/>
      <c r="Y19" s="4"/>
      <c r="Z19" s="30"/>
      <c r="AA19" s="35"/>
      <c r="AB19" s="35"/>
      <c r="AC19" s="35"/>
      <c r="AD19" s="31"/>
      <c r="AE19" s="31"/>
      <c r="AG19" s="4"/>
      <c r="AH19" s="30"/>
      <c r="AI19" s="35"/>
      <c r="AJ19" s="35"/>
      <c r="AK19" s="35"/>
      <c r="AL19" s="31"/>
      <c r="AM19" s="31"/>
    </row>
    <row r="20" spans="1:39" x14ac:dyDescent="0.45">
      <c r="A20" s="27" t="s">
        <v>31</v>
      </c>
      <c r="B20" s="28" t="s">
        <v>32</v>
      </c>
      <c r="C20" s="32"/>
      <c r="D20" s="32"/>
      <c r="E20" s="32"/>
      <c r="F20" s="33"/>
      <c r="G20" s="29">
        <f>SUM(G21:G24)</f>
        <v>4700000</v>
      </c>
      <c r="I20" s="27" t="s">
        <v>31</v>
      </c>
      <c r="J20" s="28" t="s">
        <v>32</v>
      </c>
      <c r="K20" s="32"/>
      <c r="L20" s="32"/>
      <c r="M20" s="32"/>
      <c r="N20" s="33"/>
      <c r="O20" s="29">
        <f>SUM(O21:O24)</f>
        <v>5170000</v>
      </c>
      <c r="Q20" s="27" t="s">
        <v>31</v>
      </c>
      <c r="R20" s="28" t="s">
        <v>32</v>
      </c>
      <c r="S20" s="32"/>
      <c r="T20" s="32"/>
      <c r="U20" s="32"/>
      <c r="V20" s="33"/>
      <c r="W20" s="29">
        <f>SUM(W21:W24)</f>
        <v>5170000</v>
      </c>
      <c r="Y20" s="27" t="s">
        <v>31</v>
      </c>
      <c r="Z20" s="28" t="s">
        <v>32</v>
      </c>
      <c r="AA20" s="32"/>
      <c r="AB20" s="32"/>
      <c r="AC20" s="32"/>
      <c r="AD20" s="33"/>
      <c r="AE20" s="29">
        <f>SUM(AE21:AE24)</f>
        <v>5405000</v>
      </c>
      <c r="AG20" s="27" t="s">
        <v>31</v>
      </c>
      <c r="AH20" s="28" t="s">
        <v>32</v>
      </c>
      <c r="AI20" s="32"/>
      <c r="AJ20" s="32"/>
      <c r="AK20" s="32"/>
      <c r="AL20" s="33"/>
      <c r="AM20" s="29">
        <f>SUM(AM21:AM24)</f>
        <v>5405000</v>
      </c>
    </row>
    <row r="21" spans="1:39" x14ac:dyDescent="0.45">
      <c r="A21" s="4">
        <v>1</v>
      </c>
      <c r="B21" s="35" t="s">
        <v>33</v>
      </c>
      <c r="C21" s="35">
        <v>1</v>
      </c>
      <c r="D21" s="35" t="s">
        <v>23</v>
      </c>
      <c r="E21" s="35" t="s">
        <v>25</v>
      </c>
      <c r="F21" s="36">
        <v>2000000</v>
      </c>
      <c r="G21" s="31">
        <f>C21*F21</f>
        <v>2000000</v>
      </c>
      <c r="I21" s="4">
        <v>1</v>
      </c>
      <c r="J21" s="35" t="s">
        <v>33</v>
      </c>
      <c r="K21" s="35">
        <v>1</v>
      </c>
      <c r="L21" s="35" t="s">
        <v>23</v>
      </c>
      <c r="M21" s="35" t="s">
        <v>25</v>
      </c>
      <c r="N21" s="36">
        <f>F21*$M$5</f>
        <v>2200000</v>
      </c>
      <c r="O21" s="31">
        <f>K21*N21</f>
        <v>2200000</v>
      </c>
      <c r="Q21" s="4">
        <v>1</v>
      </c>
      <c r="R21" s="35" t="s">
        <v>33</v>
      </c>
      <c r="S21" s="35">
        <v>1</v>
      </c>
      <c r="T21" s="35" t="s">
        <v>23</v>
      </c>
      <c r="U21" s="35" t="s">
        <v>25</v>
      </c>
      <c r="V21" s="36">
        <f>F21*$U$5</f>
        <v>2200000</v>
      </c>
      <c r="W21" s="31">
        <f>S21*V21</f>
        <v>2200000</v>
      </c>
      <c r="Y21" s="4">
        <v>1</v>
      </c>
      <c r="Z21" s="35" t="s">
        <v>33</v>
      </c>
      <c r="AA21" s="35">
        <v>1</v>
      </c>
      <c r="AB21" s="35" t="s">
        <v>23</v>
      </c>
      <c r="AC21" s="35" t="s">
        <v>25</v>
      </c>
      <c r="AD21" s="36">
        <f>F21*$AC$5</f>
        <v>2300000</v>
      </c>
      <c r="AE21" s="31">
        <f>AA21*AD21</f>
        <v>2300000</v>
      </c>
      <c r="AG21" s="4">
        <v>1</v>
      </c>
      <c r="AH21" s="35" t="s">
        <v>33</v>
      </c>
      <c r="AI21" s="35">
        <v>1</v>
      </c>
      <c r="AJ21" s="35" t="s">
        <v>23</v>
      </c>
      <c r="AK21" s="35" t="s">
        <v>25</v>
      </c>
      <c r="AL21" s="36">
        <f>F21*$AK$5</f>
        <v>2300000</v>
      </c>
      <c r="AM21" s="31">
        <f>AI21*AL21</f>
        <v>2300000</v>
      </c>
    </row>
    <row r="22" spans="1:39" x14ac:dyDescent="0.45">
      <c r="A22" s="4">
        <v>2</v>
      </c>
      <c r="B22" s="37" t="s">
        <v>34</v>
      </c>
      <c r="C22" s="35">
        <v>2</v>
      </c>
      <c r="D22" s="35" t="s">
        <v>35</v>
      </c>
      <c r="E22" s="35" t="s">
        <v>36</v>
      </c>
      <c r="F22" s="36">
        <v>250000</v>
      </c>
      <c r="G22" s="31">
        <f>C22*F22</f>
        <v>500000</v>
      </c>
      <c r="I22" s="4">
        <v>2</v>
      </c>
      <c r="J22" s="37" t="s">
        <v>34</v>
      </c>
      <c r="K22" s="35">
        <v>2</v>
      </c>
      <c r="L22" s="35" t="s">
        <v>35</v>
      </c>
      <c r="M22" s="35" t="s">
        <v>36</v>
      </c>
      <c r="N22" s="36">
        <f>F22*$M$5</f>
        <v>275000</v>
      </c>
      <c r="O22" s="31">
        <f>K22*N22</f>
        <v>550000</v>
      </c>
      <c r="Q22" s="4">
        <v>2</v>
      </c>
      <c r="R22" s="37" t="s">
        <v>34</v>
      </c>
      <c r="S22" s="35">
        <v>2</v>
      </c>
      <c r="T22" s="35" t="s">
        <v>35</v>
      </c>
      <c r="U22" s="35" t="s">
        <v>36</v>
      </c>
      <c r="V22" s="36">
        <f>F22*$U$5</f>
        <v>275000</v>
      </c>
      <c r="W22" s="31">
        <f>S22*V22</f>
        <v>550000</v>
      </c>
      <c r="Y22" s="4">
        <v>2</v>
      </c>
      <c r="Z22" s="37" t="s">
        <v>34</v>
      </c>
      <c r="AA22" s="35">
        <v>2</v>
      </c>
      <c r="AB22" s="35" t="s">
        <v>35</v>
      </c>
      <c r="AC22" s="35" t="s">
        <v>36</v>
      </c>
      <c r="AD22" s="36">
        <f>F22*$AC$5</f>
        <v>287500</v>
      </c>
      <c r="AE22" s="31">
        <f>AA22*AD22</f>
        <v>575000</v>
      </c>
      <c r="AG22" s="4">
        <v>2</v>
      </c>
      <c r="AH22" s="37" t="s">
        <v>34</v>
      </c>
      <c r="AI22" s="35">
        <v>2</v>
      </c>
      <c r="AJ22" s="35" t="s">
        <v>35</v>
      </c>
      <c r="AK22" s="35" t="s">
        <v>36</v>
      </c>
      <c r="AL22" s="36">
        <f>F22*$AK$5</f>
        <v>287500</v>
      </c>
      <c r="AM22" s="31">
        <f>AI22*AL22</f>
        <v>575000</v>
      </c>
    </row>
    <row r="23" spans="1:39" x14ac:dyDescent="0.45">
      <c r="A23" s="4">
        <v>3</v>
      </c>
      <c r="B23" s="5" t="s">
        <v>37</v>
      </c>
      <c r="C23" s="6">
        <v>1</v>
      </c>
      <c r="D23" s="7" t="s">
        <v>38</v>
      </c>
      <c r="E23" s="9" t="s">
        <v>39</v>
      </c>
      <c r="F23" s="8">
        <v>1300000</v>
      </c>
      <c r="G23" s="31">
        <f>C23*F23</f>
        <v>1300000</v>
      </c>
      <c r="I23" s="4">
        <v>3</v>
      </c>
      <c r="J23" s="5" t="s">
        <v>37</v>
      </c>
      <c r="K23" s="6">
        <v>1</v>
      </c>
      <c r="L23" s="7" t="s">
        <v>38</v>
      </c>
      <c r="M23" s="9" t="s">
        <v>39</v>
      </c>
      <c r="N23" s="36">
        <f>F23*$M$5</f>
        <v>1430000</v>
      </c>
      <c r="O23" s="31">
        <f>K23*N23</f>
        <v>1430000</v>
      </c>
      <c r="Q23" s="4">
        <v>3</v>
      </c>
      <c r="R23" s="5" t="s">
        <v>37</v>
      </c>
      <c r="S23" s="6">
        <v>1</v>
      </c>
      <c r="T23" s="7" t="s">
        <v>38</v>
      </c>
      <c r="U23" s="9" t="s">
        <v>39</v>
      </c>
      <c r="V23" s="36">
        <f>F23*$U$5</f>
        <v>1430000</v>
      </c>
      <c r="W23" s="31">
        <f>S23*V23</f>
        <v>1430000</v>
      </c>
      <c r="Y23" s="4">
        <v>3</v>
      </c>
      <c r="Z23" s="5" t="s">
        <v>37</v>
      </c>
      <c r="AA23" s="6">
        <v>1</v>
      </c>
      <c r="AB23" s="7" t="s">
        <v>38</v>
      </c>
      <c r="AC23" s="9" t="s">
        <v>39</v>
      </c>
      <c r="AD23" s="36">
        <f>F23*$AC$5</f>
        <v>1495000</v>
      </c>
      <c r="AE23" s="31">
        <f>AA23*AD23</f>
        <v>1495000</v>
      </c>
      <c r="AG23" s="4">
        <v>3</v>
      </c>
      <c r="AH23" s="5" t="s">
        <v>37</v>
      </c>
      <c r="AI23" s="6">
        <v>1</v>
      </c>
      <c r="AJ23" s="7" t="s">
        <v>38</v>
      </c>
      <c r="AK23" s="9" t="s">
        <v>39</v>
      </c>
      <c r="AL23" s="36">
        <f>F23*$AK$5</f>
        <v>1495000</v>
      </c>
      <c r="AM23" s="31">
        <f>AI23*AL23</f>
        <v>1495000</v>
      </c>
    </row>
    <row r="24" spans="1:39" x14ac:dyDescent="0.45">
      <c r="A24" s="4">
        <v>4</v>
      </c>
      <c r="B24" s="11" t="s">
        <v>40</v>
      </c>
      <c r="C24" s="12">
        <v>1</v>
      </c>
      <c r="D24" s="13" t="s">
        <v>41</v>
      </c>
      <c r="E24" s="14" t="s">
        <v>25</v>
      </c>
      <c r="F24" s="15">
        <v>900000</v>
      </c>
      <c r="G24" s="31">
        <f>C24*F24</f>
        <v>900000</v>
      </c>
      <c r="I24" s="4">
        <v>4</v>
      </c>
      <c r="J24" s="11" t="s">
        <v>40</v>
      </c>
      <c r="K24" s="12">
        <v>1</v>
      </c>
      <c r="L24" s="13" t="s">
        <v>41</v>
      </c>
      <c r="M24" s="14" t="s">
        <v>25</v>
      </c>
      <c r="N24" s="36">
        <f>F24*$M$5</f>
        <v>990000.00000000012</v>
      </c>
      <c r="O24" s="31">
        <f>K24*N24</f>
        <v>990000.00000000012</v>
      </c>
      <c r="Q24" s="4">
        <v>4</v>
      </c>
      <c r="R24" s="11" t="s">
        <v>40</v>
      </c>
      <c r="S24" s="12">
        <v>1</v>
      </c>
      <c r="T24" s="13" t="s">
        <v>41</v>
      </c>
      <c r="U24" s="14" t="s">
        <v>25</v>
      </c>
      <c r="V24" s="36">
        <f>F24*$U$5</f>
        <v>990000.00000000012</v>
      </c>
      <c r="W24" s="31">
        <f>S24*V24</f>
        <v>990000.00000000012</v>
      </c>
      <c r="Y24" s="4">
        <v>4</v>
      </c>
      <c r="Z24" s="11" t="s">
        <v>40</v>
      </c>
      <c r="AA24" s="12">
        <v>1</v>
      </c>
      <c r="AB24" s="13" t="s">
        <v>41</v>
      </c>
      <c r="AC24" s="14" t="s">
        <v>25</v>
      </c>
      <c r="AD24" s="36">
        <f>F24*$AC$5</f>
        <v>1034999.9999999999</v>
      </c>
      <c r="AE24" s="31">
        <f>AA24*AD24</f>
        <v>1034999.9999999999</v>
      </c>
      <c r="AG24" s="4">
        <v>4</v>
      </c>
      <c r="AH24" s="11" t="s">
        <v>40</v>
      </c>
      <c r="AI24" s="12">
        <v>1</v>
      </c>
      <c r="AJ24" s="13" t="s">
        <v>41</v>
      </c>
      <c r="AK24" s="14" t="s">
        <v>25</v>
      </c>
      <c r="AL24" s="36">
        <f>F24*$AK$5</f>
        <v>1034999.9999999999</v>
      </c>
      <c r="AM24" s="31">
        <f>AI24*AL24</f>
        <v>1034999.9999999999</v>
      </c>
    </row>
    <row r="25" spans="1:39" x14ac:dyDescent="0.45">
      <c r="A25" s="4"/>
      <c r="B25" s="30"/>
      <c r="C25" s="35"/>
      <c r="D25" s="35"/>
      <c r="E25" s="35"/>
      <c r="F25" s="31"/>
      <c r="G25" s="31"/>
      <c r="I25" s="4"/>
      <c r="J25" s="30"/>
      <c r="K25" s="35"/>
      <c r="L25" s="35"/>
      <c r="M25" s="35"/>
      <c r="N25" s="31"/>
      <c r="O25" s="31"/>
      <c r="Q25" s="4"/>
      <c r="R25" s="30"/>
      <c r="S25" s="35"/>
      <c r="T25" s="35"/>
      <c r="U25" s="35"/>
      <c r="V25" s="31"/>
      <c r="W25" s="31"/>
      <c r="Y25" s="4"/>
      <c r="Z25" s="30"/>
      <c r="AA25" s="35"/>
      <c r="AB25" s="35"/>
      <c r="AC25" s="35"/>
      <c r="AD25" s="31"/>
      <c r="AE25" s="31"/>
      <c r="AG25" s="4"/>
      <c r="AH25" s="30"/>
      <c r="AI25" s="35"/>
      <c r="AJ25" s="35"/>
      <c r="AK25" s="35"/>
      <c r="AL25" s="31"/>
      <c r="AM25" s="31"/>
    </row>
    <row r="26" spans="1:39" x14ac:dyDescent="0.45">
      <c r="A26" s="27" t="s">
        <v>42</v>
      </c>
      <c r="B26" s="28" t="s">
        <v>43</v>
      </c>
      <c r="C26" s="32"/>
      <c r="D26" s="32"/>
      <c r="E26" s="32"/>
      <c r="F26" s="33"/>
      <c r="G26" s="29">
        <f>SUM(G27:G40)</f>
        <v>5905000</v>
      </c>
      <c r="I26" s="27" t="s">
        <v>42</v>
      </c>
      <c r="J26" s="28" t="s">
        <v>43</v>
      </c>
      <c r="K26" s="32"/>
      <c r="L26" s="32"/>
      <c r="M26" s="32"/>
      <c r="N26" s="33"/>
      <c r="O26" s="29">
        <f>SUM(O27:O40)</f>
        <v>6495500</v>
      </c>
      <c r="Q26" s="27" t="s">
        <v>42</v>
      </c>
      <c r="R26" s="28" t="s">
        <v>43</v>
      </c>
      <c r="S26" s="32"/>
      <c r="T26" s="32"/>
      <c r="U26" s="32"/>
      <c r="V26" s="33"/>
      <c r="W26" s="29">
        <f>SUM(W27:W40)</f>
        <v>6495500</v>
      </c>
      <c r="Y26" s="27" t="s">
        <v>42</v>
      </c>
      <c r="Z26" s="28" t="s">
        <v>43</v>
      </c>
      <c r="AA26" s="32"/>
      <c r="AB26" s="32"/>
      <c r="AC26" s="32"/>
      <c r="AD26" s="33"/>
      <c r="AE26" s="29">
        <f>SUM(AE27:AE40)</f>
        <v>6790750</v>
      </c>
      <c r="AG26" s="27" t="s">
        <v>42</v>
      </c>
      <c r="AH26" s="28" t="s">
        <v>43</v>
      </c>
      <c r="AI26" s="32"/>
      <c r="AJ26" s="32"/>
      <c r="AK26" s="32"/>
      <c r="AL26" s="33"/>
      <c r="AM26" s="29">
        <f>SUM(AM27:AM40)</f>
        <v>6790750</v>
      </c>
    </row>
    <row r="27" spans="1:39" ht="14.55" customHeight="1" x14ac:dyDescent="0.45">
      <c r="A27" s="4">
        <v>1</v>
      </c>
      <c r="B27" s="38" t="s">
        <v>44</v>
      </c>
      <c r="C27" s="1">
        <v>1</v>
      </c>
      <c r="D27" s="38" t="s">
        <v>23</v>
      </c>
      <c r="E27" s="38" t="s">
        <v>45</v>
      </c>
      <c r="F27" s="31">
        <v>1200000</v>
      </c>
      <c r="G27" s="31">
        <f t="shared" ref="G27:G40" si="5">C27*F27</f>
        <v>1200000</v>
      </c>
      <c r="I27" s="4">
        <v>1</v>
      </c>
      <c r="J27" s="38" t="s">
        <v>44</v>
      </c>
      <c r="K27" s="1">
        <v>1</v>
      </c>
      <c r="L27" s="38" t="s">
        <v>23</v>
      </c>
      <c r="M27" s="38" t="s">
        <v>45</v>
      </c>
      <c r="N27" s="36">
        <f t="shared" ref="N27:N40" si="6">F27*$M$5</f>
        <v>1320000</v>
      </c>
      <c r="O27" s="31">
        <f t="shared" ref="O27:O40" si="7">K27*N27</f>
        <v>1320000</v>
      </c>
      <c r="Q27" s="4">
        <v>1</v>
      </c>
      <c r="R27" s="38" t="s">
        <v>44</v>
      </c>
      <c r="S27" s="1">
        <v>1</v>
      </c>
      <c r="T27" s="38" t="s">
        <v>23</v>
      </c>
      <c r="U27" s="38" t="s">
        <v>45</v>
      </c>
      <c r="V27" s="36">
        <f>F27*$U$5</f>
        <v>1320000</v>
      </c>
      <c r="W27" s="31">
        <f t="shared" ref="W27:W40" si="8">S27*V27</f>
        <v>1320000</v>
      </c>
      <c r="Y27" s="4">
        <v>1</v>
      </c>
      <c r="Z27" s="38" t="s">
        <v>44</v>
      </c>
      <c r="AA27" s="1">
        <v>1</v>
      </c>
      <c r="AB27" s="38" t="s">
        <v>23</v>
      </c>
      <c r="AC27" s="38" t="s">
        <v>45</v>
      </c>
      <c r="AD27" s="36">
        <f>F27*$AC$5</f>
        <v>1380000</v>
      </c>
      <c r="AE27" s="31">
        <f t="shared" ref="AE27:AE40" si="9">AA27*AD27</f>
        <v>1380000</v>
      </c>
      <c r="AG27" s="4">
        <v>1</v>
      </c>
      <c r="AH27" s="38" t="s">
        <v>44</v>
      </c>
      <c r="AI27" s="1">
        <v>1</v>
      </c>
      <c r="AJ27" s="38" t="s">
        <v>23</v>
      </c>
      <c r="AK27" s="38" t="s">
        <v>45</v>
      </c>
      <c r="AL27" s="36">
        <f>F27*$AK$5</f>
        <v>1380000</v>
      </c>
      <c r="AM27" s="31">
        <f t="shared" ref="AM27:AM40" si="10">AI27*AL27</f>
        <v>1380000</v>
      </c>
    </row>
    <row r="28" spans="1:39" s="40" customFormat="1" ht="14.55" customHeight="1" x14ac:dyDescent="0.45">
      <c r="A28" s="39">
        <v>2</v>
      </c>
      <c r="B28" s="35" t="s">
        <v>46</v>
      </c>
      <c r="C28" s="1">
        <v>3</v>
      </c>
      <c r="D28" s="38" t="s">
        <v>23</v>
      </c>
      <c r="E28" s="38" t="s">
        <v>25</v>
      </c>
      <c r="F28" s="36">
        <v>50000</v>
      </c>
      <c r="G28" s="31">
        <f t="shared" si="5"/>
        <v>150000</v>
      </c>
      <c r="I28" s="39">
        <v>2</v>
      </c>
      <c r="J28" s="35" t="s">
        <v>46</v>
      </c>
      <c r="K28" s="1">
        <v>3</v>
      </c>
      <c r="L28" s="38" t="s">
        <v>23</v>
      </c>
      <c r="M28" s="38" t="s">
        <v>25</v>
      </c>
      <c r="N28" s="36">
        <f t="shared" si="6"/>
        <v>55000.000000000007</v>
      </c>
      <c r="O28" s="31">
        <f t="shared" si="7"/>
        <v>165000.00000000003</v>
      </c>
      <c r="Q28" s="39">
        <v>2</v>
      </c>
      <c r="R28" s="35" t="s">
        <v>46</v>
      </c>
      <c r="S28" s="1">
        <v>3</v>
      </c>
      <c r="T28" s="38" t="s">
        <v>23</v>
      </c>
      <c r="U28" s="38" t="s">
        <v>25</v>
      </c>
      <c r="V28" s="36">
        <f>F28*$U$5</f>
        <v>55000.000000000007</v>
      </c>
      <c r="W28" s="31">
        <f t="shared" si="8"/>
        <v>165000.00000000003</v>
      </c>
      <c r="Y28" s="39">
        <v>2</v>
      </c>
      <c r="Z28" s="35" t="s">
        <v>46</v>
      </c>
      <c r="AA28" s="1">
        <v>3</v>
      </c>
      <c r="AB28" s="38" t="s">
        <v>23</v>
      </c>
      <c r="AC28" s="38" t="s">
        <v>25</v>
      </c>
      <c r="AD28" s="36">
        <f>F28*$AC$5</f>
        <v>57499.999999999993</v>
      </c>
      <c r="AE28" s="31">
        <f t="shared" si="9"/>
        <v>172499.99999999997</v>
      </c>
      <c r="AG28" s="39">
        <v>2</v>
      </c>
      <c r="AH28" s="35" t="s">
        <v>46</v>
      </c>
      <c r="AI28" s="1">
        <v>3</v>
      </c>
      <c r="AJ28" s="38" t="s">
        <v>23</v>
      </c>
      <c r="AK28" s="38" t="s">
        <v>25</v>
      </c>
      <c r="AL28" s="36">
        <f>F28*$AK$5</f>
        <v>57499.999999999993</v>
      </c>
      <c r="AM28" s="31">
        <f t="shared" si="10"/>
        <v>172499.99999999997</v>
      </c>
    </row>
    <row r="29" spans="1:39" s="3" customFormat="1" ht="14.55" customHeight="1" x14ac:dyDescent="0.45">
      <c r="A29" s="4">
        <v>3</v>
      </c>
      <c r="B29" s="2" t="s">
        <v>47</v>
      </c>
      <c r="C29" s="1">
        <v>1</v>
      </c>
      <c r="D29" s="38" t="s">
        <v>23</v>
      </c>
      <c r="E29" s="38" t="s">
        <v>48</v>
      </c>
      <c r="F29" s="36">
        <v>900000</v>
      </c>
      <c r="G29" s="31">
        <f t="shared" si="5"/>
        <v>900000</v>
      </c>
      <c r="I29" s="4">
        <v>3</v>
      </c>
      <c r="J29" s="2" t="s">
        <v>47</v>
      </c>
      <c r="K29" s="1">
        <v>1</v>
      </c>
      <c r="L29" s="38" t="s">
        <v>23</v>
      </c>
      <c r="M29" s="38" t="s">
        <v>48</v>
      </c>
      <c r="N29" s="36">
        <f t="shared" si="6"/>
        <v>990000.00000000012</v>
      </c>
      <c r="O29" s="31">
        <f t="shared" si="7"/>
        <v>990000.00000000012</v>
      </c>
      <c r="Q29" s="4">
        <v>3</v>
      </c>
      <c r="R29" s="2" t="s">
        <v>47</v>
      </c>
      <c r="S29" s="1">
        <v>1</v>
      </c>
      <c r="T29" s="38" t="s">
        <v>23</v>
      </c>
      <c r="U29" s="38" t="s">
        <v>48</v>
      </c>
      <c r="V29" s="36">
        <f>F29*$U$5</f>
        <v>990000.00000000012</v>
      </c>
      <c r="W29" s="31">
        <f t="shared" si="8"/>
        <v>990000.00000000012</v>
      </c>
      <c r="Y29" s="4">
        <v>3</v>
      </c>
      <c r="Z29" s="2" t="s">
        <v>47</v>
      </c>
      <c r="AA29" s="1">
        <v>1</v>
      </c>
      <c r="AB29" s="38" t="s">
        <v>23</v>
      </c>
      <c r="AC29" s="38" t="s">
        <v>48</v>
      </c>
      <c r="AD29" s="36">
        <f>F29*$AC$5</f>
        <v>1034999.9999999999</v>
      </c>
      <c r="AE29" s="31">
        <f t="shared" si="9"/>
        <v>1034999.9999999999</v>
      </c>
      <c r="AG29" s="4">
        <v>3</v>
      </c>
      <c r="AH29" s="2" t="s">
        <v>47</v>
      </c>
      <c r="AI29" s="1">
        <v>1</v>
      </c>
      <c r="AJ29" s="38" t="s">
        <v>23</v>
      </c>
      <c r="AK29" s="38" t="s">
        <v>48</v>
      </c>
      <c r="AL29" s="36">
        <f>F29*$AK$5</f>
        <v>1034999.9999999999</v>
      </c>
      <c r="AM29" s="31">
        <f t="shared" si="10"/>
        <v>1034999.9999999999</v>
      </c>
    </row>
    <row r="30" spans="1:39" s="3" customFormat="1" ht="14.55" customHeight="1" x14ac:dyDescent="0.45">
      <c r="A30" s="39">
        <v>4</v>
      </c>
      <c r="B30" s="2" t="s">
        <v>49</v>
      </c>
      <c r="C30" s="1">
        <v>2</v>
      </c>
      <c r="D30" s="38" t="s">
        <v>23</v>
      </c>
      <c r="E30" s="38" t="s">
        <v>25</v>
      </c>
      <c r="F30" s="36">
        <v>175000</v>
      </c>
      <c r="G30" s="31">
        <f t="shared" si="5"/>
        <v>350000</v>
      </c>
      <c r="I30" s="39">
        <v>4</v>
      </c>
      <c r="J30" s="2" t="s">
        <v>49</v>
      </c>
      <c r="K30" s="1">
        <v>2</v>
      </c>
      <c r="L30" s="38" t="s">
        <v>23</v>
      </c>
      <c r="M30" s="38" t="s">
        <v>25</v>
      </c>
      <c r="N30" s="36">
        <f t="shared" si="6"/>
        <v>192500.00000000003</v>
      </c>
      <c r="O30" s="31">
        <f t="shared" si="7"/>
        <v>385000.00000000006</v>
      </c>
      <c r="Q30" s="39">
        <v>4</v>
      </c>
      <c r="R30" s="2" t="s">
        <v>49</v>
      </c>
      <c r="S30" s="1">
        <v>2</v>
      </c>
      <c r="T30" s="38" t="s">
        <v>23</v>
      </c>
      <c r="U30" s="38" t="s">
        <v>25</v>
      </c>
      <c r="V30" s="36">
        <f>F30*$U$5</f>
        <v>192500.00000000003</v>
      </c>
      <c r="W30" s="31">
        <f t="shared" si="8"/>
        <v>385000.00000000006</v>
      </c>
      <c r="Y30" s="39">
        <v>4</v>
      </c>
      <c r="Z30" s="2" t="s">
        <v>49</v>
      </c>
      <c r="AA30" s="1">
        <v>2</v>
      </c>
      <c r="AB30" s="38" t="s">
        <v>23</v>
      </c>
      <c r="AC30" s="38" t="s">
        <v>25</v>
      </c>
      <c r="AD30" s="36">
        <f>F30*$AC$5</f>
        <v>201249.99999999997</v>
      </c>
      <c r="AE30" s="31">
        <f t="shared" si="9"/>
        <v>402499.99999999994</v>
      </c>
      <c r="AG30" s="39">
        <v>4</v>
      </c>
      <c r="AH30" s="2" t="s">
        <v>49</v>
      </c>
      <c r="AI30" s="1">
        <v>2</v>
      </c>
      <c r="AJ30" s="38" t="s">
        <v>23</v>
      </c>
      <c r="AK30" s="38" t="s">
        <v>25</v>
      </c>
      <c r="AL30" s="36">
        <f>F30*$AK$5</f>
        <v>201249.99999999997</v>
      </c>
      <c r="AM30" s="31">
        <f t="shared" si="10"/>
        <v>402499.99999999994</v>
      </c>
    </row>
    <row r="31" spans="1:39" s="3" customFormat="1" ht="14.55" customHeight="1" x14ac:dyDescent="0.45">
      <c r="A31" s="4">
        <v>5</v>
      </c>
      <c r="B31" s="2" t="s">
        <v>50</v>
      </c>
      <c r="C31" s="1">
        <v>1</v>
      </c>
      <c r="D31" s="35" t="s">
        <v>51</v>
      </c>
      <c r="E31" s="35" t="s">
        <v>25</v>
      </c>
      <c r="F31" s="36">
        <v>150000</v>
      </c>
      <c r="G31" s="31">
        <f t="shared" si="5"/>
        <v>150000</v>
      </c>
      <c r="I31" s="4">
        <v>5</v>
      </c>
      <c r="J31" s="2" t="s">
        <v>50</v>
      </c>
      <c r="K31" s="1">
        <v>1</v>
      </c>
      <c r="L31" s="35" t="s">
        <v>51</v>
      </c>
      <c r="M31" s="35" t="s">
        <v>25</v>
      </c>
      <c r="N31" s="36">
        <f t="shared" si="6"/>
        <v>165000</v>
      </c>
      <c r="O31" s="31">
        <f t="shared" si="7"/>
        <v>165000</v>
      </c>
      <c r="Q31" s="4">
        <v>5</v>
      </c>
      <c r="R31" s="2" t="s">
        <v>50</v>
      </c>
      <c r="S31" s="1">
        <v>1</v>
      </c>
      <c r="T31" s="35" t="s">
        <v>51</v>
      </c>
      <c r="U31" s="35" t="s">
        <v>25</v>
      </c>
      <c r="V31" s="36">
        <f>F31*$U$5</f>
        <v>165000</v>
      </c>
      <c r="W31" s="31">
        <f t="shared" si="8"/>
        <v>165000</v>
      </c>
      <c r="Y31" s="4">
        <v>5</v>
      </c>
      <c r="Z31" s="2" t="s">
        <v>50</v>
      </c>
      <c r="AA31" s="1">
        <v>1</v>
      </c>
      <c r="AB31" s="35" t="s">
        <v>51</v>
      </c>
      <c r="AC31" s="35" t="s">
        <v>25</v>
      </c>
      <c r="AD31" s="36">
        <f>F31*$AC$5</f>
        <v>172500</v>
      </c>
      <c r="AE31" s="31">
        <f t="shared" si="9"/>
        <v>172500</v>
      </c>
      <c r="AG31" s="4">
        <v>5</v>
      </c>
      <c r="AH31" s="2" t="s">
        <v>50</v>
      </c>
      <c r="AI31" s="1">
        <v>1</v>
      </c>
      <c r="AJ31" s="35" t="s">
        <v>51</v>
      </c>
      <c r="AK31" s="35" t="s">
        <v>25</v>
      </c>
      <c r="AL31" s="36">
        <f>F31*$AK$5</f>
        <v>172500</v>
      </c>
      <c r="AM31" s="31">
        <f t="shared" si="10"/>
        <v>172500</v>
      </c>
    </row>
    <row r="32" spans="1:39" s="3" customFormat="1" ht="14.55" customHeight="1" x14ac:dyDescent="0.45">
      <c r="A32" s="39">
        <v>6</v>
      </c>
      <c r="B32" s="2" t="s">
        <v>52</v>
      </c>
      <c r="C32" s="1">
        <v>1</v>
      </c>
      <c r="D32" s="35" t="s">
        <v>23</v>
      </c>
      <c r="E32" s="35" t="s">
        <v>25</v>
      </c>
      <c r="F32" s="36">
        <v>255000</v>
      </c>
      <c r="G32" s="31">
        <f t="shared" si="5"/>
        <v>255000</v>
      </c>
      <c r="I32" s="39">
        <v>6</v>
      </c>
      <c r="J32" s="2" t="s">
        <v>52</v>
      </c>
      <c r="K32" s="1">
        <v>1</v>
      </c>
      <c r="L32" s="35" t="s">
        <v>23</v>
      </c>
      <c r="M32" s="35" t="s">
        <v>25</v>
      </c>
      <c r="N32" s="36">
        <f t="shared" si="6"/>
        <v>280500</v>
      </c>
      <c r="O32" s="31">
        <f t="shared" si="7"/>
        <v>280500</v>
      </c>
      <c r="Q32" s="39">
        <v>6</v>
      </c>
      <c r="R32" s="2" t="s">
        <v>52</v>
      </c>
      <c r="S32" s="1">
        <v>1</v>
      </c>
      <c r="T32" s="35" t="s">
        <v>23</v>
      </c>
      <c r="U32" s="35" t="s">
        <v>25</v>
      </c>
      <c r="V32" s="36">
        <f>F32*$U$5</f>
        <v>280500</v>
      </c>
      <c r="W32" s="31">
        <f t="shared" si="8"/>
        <v>280500</v>
      </c>
      <c r="Y32" s="39">
        <v>6</v>
      </c>
      <c r="Z32" s="2" t="s">
        <v>52</v>
      </c>
      <c r="AA32" s="1">
        <v>1</v>
      </c>
      <c r="AB32" s="35" t="s">
        <v>23</v>
      </c>
      <c r="AC32" s="35" t="s">
        <v>25</v>
      </c>
      <c r="AD32" s="36">
        <f>F32*$AC$5</f>
        <v>293250</v>
      </c>
      <c r="AE32" s="31">
        <f t="shared" si="9"/>
        <v>293250</v>
      </c>
      <c r="AG32" s="39">
        <v>6</v>
      </c>
      <c r="AH32" s="2" t="s">
        <v>52</v>
      </c>
      <c r="AI32" s="1">
        <v>1</v>
      </c>
      <c r="AJ32" s="35" t="s">
        <v>23</v>
      </c>
      <c r="AK32" s="35" t="s">
        <v>25</v>
      </c>
      <c r="AL32" s="36">
        <f>F32*$AK$5</f>
        <v>293250</v>
      </c>
      <c r="AM32" s="31">
        <f t="shared" si="10"/>
        <v>293250</v>
      </c>
    </row>
    <row r="33" spans="1:39" s="3" customFormat="1" ht="14.55" customHeight="1" x14ac:dyDescent="0.45">
      <c r="A33" s="4">
        <v>7</v>
      </c>
      <c r="B33" s="2" t="s">
        <v>53</v>
      </c>
      <c r="C33" s="1">
        <v>1</v>
      </c>
      <c r="D33" s="35" t="s">
        <v>23</v>
      </c>
      <c r="E33" s="35" t="s">
        <v>25</v>
      </c>
      <c r="F33" s="36">
        <v>125000</v>
      </c>
      <c r="G33" s="31">
        <f t="shared" si="5"/>
        <v>125000</v>
      </c>
      <c r="I33" s="4">
        <v>7</v>
      </c>
      <c r="J33" s="2" t="s">
        <v>53</v>
      </c>
      <c r="K33" s="1">
        <v>1</v>
      </c>
      <c r="L33" s="35" t="s">
        <v>23</v>
      </c>
      <c r="M33" s="35" t="s">
        <v>25</v>
      </c>
      <c r="N33" s="36">
        <f t="shared" si="6"/>
        <v>137500</v>
      </c>
      <c r="O33" s="31">
        <f t="shared" si="7"/>
        <v>137500</v>
      </c>
      <c r="Q33" s="4">
        <v>7</v>
      </c>
      <c r="R33" s="2" t="s">
        <v>53</v>
      </c>
      <c r="S33" s="1">
        <v>1</v>
      </c>
      <c r="T33" s="35" t="s">
        <v>23</v>
      </c>
      <c r="U33" s="35" t="s">
        <v>25</v>
      </c>
      <c r="V33" s="36">
        <f>F33*$U$5</f>
        <v>137500</v>
      </c>
      <c r="W33" s="31">
        <f t="shared" si="8"/>
        <v>137500</v>
      </c>
      <c r="Y33" s="4">
        <v>7</v>
      </c>
      <c r="Z33" s="2" t="s">
        <v>53</v>
      </c>
      <c r="AA33" s="1">
        <v>1</v>
      </c>
      <c r="AB33" s="35" t="s">
        <v>23</v>
      </c>
      <c r="AC33" s="35" t="s">
        <v>25</v>
      </c>
      <c r="AD33" s="36">
        <f>F33*$AC$5</f>
        <v>143750</v>
      </c>
      <c r="AE33" s="31">
        <f t="shared" si="9"/>
        <v>143750</v>
      </c>
      <c r="AG33" s="4">
        <v>7</v>
      </c>
      <c r="AH33" s="2" t="s">
        <v>53</v>
      </c>
      <c r="AI33" s="1">
        <v>1</v>
      </c>
      <c r="AJ33" s="35" t="s">
        <v>23</v>
      </c>
      <c r="AK33" s="35" t="s">
        <v>25</v>
      </c>
      <c r="AL33" s="36">
        <f>F33*$AK$5</f>
        <v>143750</v>
      </c>
      <c r="AM33" s="31">
        <f t="shared" si="10"/>
        <v>143750</v>
      </c>
    </row>
    <row r="34" spans="1:39" s="3" customFormat="1" ht="14.55" customHeight="1" x14ac:dyDescent="0.45">
      <c r="A34" s="39">
        <v>8</v>
      </c>
      <c r="B34" s="2" t="s">
        <v>54</v>
      </c>
      <c r="C34" s="1">
        <v>1</v>
      </c>
      <c r="D34" s="35" t="s">
        <v>51</v>
      </c>
      <c r="E34" s="35" t="s">
        <v>25</v>
      </c>
      <c r="F34" s="36">
        <v>125000</v>
      </c>
      <c r="G34" s="31">
        <f t="shared" si="5"/>
        <v>125000</v>
      </c>
      <c r="I34" s="39">
        <v>8</v>
      </c>
      <c r="J34" s="2" t="s">
        <v>54</v>
      </c>
      <c r="K34" s="1">
        <v>1</v>
      </c>
      <c r="L34" s="35" t="s">
        <v>51</v>
      </c>
      <c r="M34" s="35" t="s">
        <v>25</v>
      </c>
      <c r="N34" s="36">
        <f t="shared" si="6"/>
        <v>137500</v>
      </c>
      <c r="O34" s="31">
        <f t="shared" si="7"/>
        <v>137500</v>
      </c>
      <c r="Q34" s="39">
        <v>8</v>
      </c>
      <c r="R34" s="2" t="s">
        <v>54</v>
      </c>
      <c r="S34" s="1">
        <v>1</v>
      </c>
      <c r="T34" s="35" t="s">
        <v>51</v>
      </c>
      <c r="U34" s="35" t="s">
        <v>25</v>
      </c>
      <c r="V34" s="36">
        <f>F34*$U$5</f>
        <v>137500</v>
      </c>
      <c r="W34" s="31">
        <f t="shared" si="8"/>
        <v>137500</v>
      </c>
      <c r="Y34" s="39">
        <v>8</v>
      </c>
      <c r="Z34" s="2" t="s">
        <v>54</v>
      </c>
      <c r="AA34" s="1">
        <v>1</v>
      </c>
      <c r="AB34" s="35" t="s">
        <v>51</v>
      </c>
      <c r="AC34" s="35" t="s">
        <v>25</v>
      </c>
      <c r="AD34" s="36">
        <f>F34*$AC$5</f>
        <v>143750</v>
      </c>
      <c r="AE34" s="31">
        <f t="shared" si="9"/>
        <v>143750</v>
      </c>
      <c r="AG34" s="39">
        <v>8</v>
      </c>
      <c r="AH34" s="2" t="s">
        <v>54</v>
      </c>
      <c r="AI34" s="1">
        <v>1</v>
      </c>
      <c r="AJ34" s="35" t="s">
        <v>51</v>
      </c>
      <c r="AK34" s="35" t="s">
        <v>25</v>
      </c>
      <c r="AL34" s="36">
        <f>F34*$AK$5</f>
        <v>143750</v>
      </c>
      <c r="AM34" s="31">
        <f t="shared" si="10"/>
        <v>143750</v>
      </c>
    </row>
    <row r="35" spans="1:39" s="3" customFormat="1" ht="14.55" customHeight="1" x14ac:dyDescent="0.45">
      <c r="A35" s="4">
        <v>9</v>
      </c>
      <c r="B35" s="2" t="s">
        <v>55</v>
      </c>
      <c r="C35" s="1">
        <v>1</v>
      </c>
      <c r="D35" s="35" t="s">
        <v>23</v>
      </c>
      <c r="E35" s="35" t="s">
        <v>25</v>
      </c>
      <c r="F35" s="36">
        <v>125000</v>
      </c>
      <c r="G35" s="31">
        <f t="shared" si="5"/>
        <v>125000</v>
      </c>
      <c r="I35" s="4">
        <v>9</v>
      </c>
      <c r="J35" s="2" t="s">
        <v>55</v>
      </c>
      <c r="K35" s="1">
        <v>1</v>
      </c>
      <c r="L35" s="35" t="s">
        <v>23</v>
      </c>
      <c r="M35" s="35" t="s">
        <v>25</v>
      </c>
      <c r="N35" s="36">
        <f t="shared" si="6"/>
        <v>137500</v>
      </c>
      <c r="O35" s="31">
        <f t="shared" si="7"/>
        <v>137500</v>
      </c>
      <c r="Q35" s="4">
        <v>9</v>
      </c>
      <c r="R35" s="2" t="s">
        <v>55</v>
      </c>
      <c r="S35" s="1">
        <v>1</v>
      </c>
      <c r="T35" s="35" t="s">
        <v>23</v>
      </c>
      <c r="U35" s="35" t="s">
        <v>25</v>
      </c>
      <c r="V35" s="36">
        <f>F35*$U$5</f>
        <v>137500</v>
      </c>
      <c r="W35" s="31">
        <f t="shared" si="8"/>
        <v>137500</v>
      </c>
      <c r="Y35" s="4">
        <v>9</v>
      </c>
      <c r="Z35" s="2" t="s">
        <v>55</v>
      </c>
      <c r="AA35" s="1">
        <v>1</v>
      </c>
      <c r="AB35" s="35" t="s">
        <v>23</v>
      </c>
      <c r="AC35" s="35" t="s">
        <v>25</v>
      </c>
      <c r="AD35" s="36">
        <f>F35*$AC$5</f>
        <v>143750</v>
      </c>
      <c r="AE35" s="31">
        <f t="shared" si="9"/>
        <v>143750</v>
      </c>
      <c r="AG35" s="4">
        <v>9</v>
      </c>
      <c r="AH35" s="2" t="s">
        <v>55</v>
      </c>
      <c r="AI35" s="1">
        <v>1</v>
      </c>
      <c r="AJ35" s="35" t="s">
        <v>23</v>
      </c>
      <c r="AK35" s="35" t="s">
        <v>25</v>
      </c>
      <c r="AL35" s="36">
        <f>F35*$AK$5</f>
        <v>143750</v>
      </c>
      <c r="AM35" s="31">
        <f t="shared" si="10"/>
        <v>143750</v>
      </c>
    </row>
    <row r="36" spans="1:39" s="3" customFormat="1" ht="14.55" customHeight="1" x14ac:dyDescent="0.45">
      <c r="A36" s="39">
        <v>10</v>
      </c>
      <c r="B36" s="2" t="s">
        <v>56</v>
      </c>
      <c r="C36" s="1">
        <v>1</v>
      </c>
      <c r="D36" s="35" t="s">
        <v>51</v>
      </c>
      <c r="E36" s="35" t="s">
        <v>25</v>
      </c>
      <c r="F36" s="36">
        <v>200000</v>
      </c>
      <c r="G36" s="31">
        <f t="shared" si="5"/>
        <v>200000</v>
      </c>
      <c r="I36" s="39">
        <v>10</v>
      </c>
      <c r="J36" s="2" t="s">
        <v>56</v>
      </c>
      <c r="K36" s="1">
        <v>1</v>
      </c>
      <c r="L36" s="35" t="s">
        <v>51</v>
      </c>
      <c r="M36" s="35" t="s">
        <v>25</v>
      </c>
      <c r="N36" s="36">
        <f t="shared" si="6"/>
        <v>220000.00000000003</v>
      </c>
      <c r="O36" s="31">
        <f t="shared" si="7"/>
        <v>220000.00000000003</v>
      </c>
      <c r="Q36" s="39">
        <v>10</v>
      </c>
      <c r="R36" s="2" t="s">
        <v>56</v>
      </c>
      <c r="S36" s="1">
        <v>1</v>
      </c>
      <c r="T36" s="35" t="s">
        <v>51</v>
      </c>
      <c r="U36" s="35" t="s">
        <v>25</v>
      </c>
      <c r="V36" s="36">
        <f>F36*$U$5</f>
        <v>220000.00000000003</v>
      </c>
      <c r="W36" s="31">
        <f t="shared" si="8"/>
        <v>220000.00000000003</v>
      </c>
      <c r="Y36" s="39">
        <v>10</v>
      </c>
      <c r="Z36" s="2" t="s">
        <v>56</v>
      </c>
      <c r="AA36" s="1">
        <v>1</v>
      </c>
      <c r="AB36" s="35" t="s">
        <v>51</v>
      </c>
      <c r="AC36" s="35" t="s">
        <v>25</v>
      </c>
      <c r="AD36" s="36">
        <f>F36*$AC$5</f>
        <v>229999.99999999997</v>
      </c>
      <c r="AE36" s="31">
        <f t="shared" si="9"/>
        <v>229999.99999999997</v>
      </c>
      <c r="AG36" s="39">
        <v>10</v>
      </c>
      <c r="AH36" s="2" t="s">
        <v>56</v>
      </c>
      <c r="AI36" s="1">
        <v>1</v>
      </c>
      <c r="AJ36" s="35" t="s">
        <v>51</v>
      </c>
      <c r="AK36" s="35" t="s">
        <v>25</v>
      </c>
      <c r="AL36" s="36">
        <f>F36*$AK$5</f>
        <v>229999.99999999997</v>
      </c>
      <c r="AM36" s="31">
        <f t="shared" si="10"/>
        <v>229999.99999999997</v>
      </c>
    </row>
    <row r="37" spans="1:39" s="3" customFormat="1" ht="14.55" customHeight="1" x14ac:dyDescent="0.45">
      <c r="A37" s="4">
        <v>11</v>
      </c>
      <c r="B37" s="2" t="s">
        <v>57</v>
      </c>
      <c r="C37" s="1">
        <v>1</v>
      </c>
      <c r="D37" s="35" t="s">
        <v>58</v>
      </c>
      <c r="E37" s="38" t="s">
        <v>48</v>
      </c>
      <c r="F37" s="36">
        <v>300000</v>
      </c>
      <c r="G37" s="31">
        <f t="shared" si="5"/>
        <v>300000</v>
      </c>
      <c r="I37" s="4">
        <v>11</v>
      </c>
      <c r="J37" s="2" t="s">
        <v>57</v>
      </c>
      <c r="K37" s="1">
        <v>1</v>
      </c>
      <c r="L37" s="35" t="s">
        <v>58</v>
      </c>
      <c r="M37" s="38" t="s">
        <v>48</v>
      </c>
      <c r="N37" s="36">
        <f t="shared" si="6"/>
        <v>330000</v>
      </c>
      <c r="O37" s="31">
        <f t="shared" si="7"/>
        <v>330000</v>
      </c>
      <c r="Q37" s="4">
        <v>11</v>
      </c>
      <c r="R37" s="2" t="s">
        <v>57</v>
      </c>
      <c r="S37" s="1">
        <v>1</v>
      </c>
      <c r="T37" s="35" t="s">
        <v>58</v>
      </c>
      <c r="U37" s="38" t="s">
        <v>48</v>
      </c>
      <c r="V37" s="36">
        <f>F37*$U$5</f>
        <v>330000</v>
      </c>
      <c r="W37" s="31">
        <f t="shared" si="8"/>
        <v>330000</v>
      </c>
      <c r="Y37" s="4">
        <v>11</v>
      </c>
      <c r="Z37" s="2" t="s">
        <v>57</v>
      </c>
      <c r="AA37" s="1">
        <v>1</v>
      </c>
      <c r="AB37" s="35" t="s">
        <v>58</v>
      </c>
      <c r="AC37" s="38" t="s">
        <v>48</v>
      </c>
      <c r="AD37" s="36">
        <f>F37*$AC$5</f>
        <v>345000</v>
      </c>
      <c r="AE37" s="31">
        <f t="shared" si="9"/>
        <v>345000</v>
      </c>
      <c r="AG37" s="4">
        <v>11</v>
      </c>
      <c r="AH37" s="2" t="s">
        <v>57</v>
      </c>
      <c r="AI37" s="1">
        <v>1</v>
      </c>
      <c r="AJ37" s="35" t="s">
        <v>58</v>
      </c>
      <c r="AK37" s="38" t="s">
        <v>48</v>
      </c>
      <c r="AL37" s="36">
        <f>F37*$AK$5</f>
        <v>345000</v>
      </c>
      <c r="AM37" s="31">
        <f t="shared" si="10"/>
        <v>345000</v>
      </c>
    </row>
    <row r="38" spans="1:39" s="3" customFormat="1" ht="14.55" customHeight="1" x14ac:dyDescent="0.45">
      <c r="A38" s="39">
        <v>12</v>
      </c>
      <c r="B38" s="2" t="s">
        <v>59</v>
      </c>
      <c r="C38" s="1">
        <v>1</v>
      </c>
      <c r="D38" s="35" t="s">
        <v>23</v>
      </c>
      <c r="E38" s="38" t="s">
        <v>48</v>
      </c>
      <c r="F38" s="36">
        <v>525000</v>
      </c>
      <c r="G38" s="31">
        <f t="shared" si="5"/>
        <v>525000</v>
      </c>
      <c r="I38" s="39">
        <v>12</v>
      </c>
      <c r="J38" s="2" t="s">
        <v>59</v>
      </c>
      <c r="K38" s="1">
        <v>1</v>
      </c>
      <c r="L38" s="35" t="s">
        <v>23</v>
      </c>
      <c r="M38" s="38" t="s">
        <v>48</v>
      </c>
      <c r="N38" s="36">
        <f t="shared" si="6"/>
        <v>577500</v>
      </c>
      <c r="O38" s="31">
        <f t="shared" si="7"/>
        <v>577500</v>
      </c>
      <c r="Q38" s="39">
        <v>12</v>
      </c>
      <c r="R38" s="2" t="s">
        <v>59</v>
      </c>
      <c r="S38" s="1">
        <v>1</v>
      </c>
      <c r="T38" s="35" t="s">
        <v>23</v>
      </c>
      <c r="U38" s="38" t="s">
        <v>48</v>
      </c>
      <c r="V38" s="36">
        <f>F38*$U$5</f>
        <v>577500</v>
      </c>
      <c r="W38" s="31">
        <f t="shared" si="8"/>
        <v>577500</v>
      </c>
      <c r="Y38" s="39">
        <v>12</v>
      </c>
      <c r="Z38" s="2" t="s">
        <v>59</v>
      </c>
      <c r="AA38" s="1">
        <v>1</v>
      </c>
      <c r="AB38" s="35" t="s">
        <v>23</v>
      </c>
      <c r="AC38" s="38" t="s">
        <v>48</v>
      </c>
      <c r="AD38" s="36">
        <f>F38*$AC$5</f>
        <v>603750</v>
      </c>
      <c r="AE38" s="31">
        <f t="shared" si="9"/>
        <v>603750</v>
      </c>
      <c r="AG38" s="39">
        <v>12</v>
      </c>
      <c r="AH38" s="2" t="s">
        <v>59</v>
      </c>
      <c r="AI38" s="1">
        <v>1</v>
      </c>
      <c r="AJ38" s="35" t="s">
        <v>23</v>
      </c>
      <c r="AK38" s="38" t="s">
        <v>48</v>
      </c>
      <c r="AL38" s="36">
        <f>F38*$AK$5</f>
        <v>603750</v>
      </c>
      <c r="AM38" s="31">
        <f t="shared" si="10"/>
        <v>603750</v>
      </c>
    </row>
    <row r="39" spans="1:39" s="3" customFormat="1" ht="14.55" customHeight="1" x14ac:dyDescent="0.45">
      <c r="A39" s="4">
        <v>13</v>
      </c>
      <c r="B39" s="2" t="s">
        <v>60</v>
      </c>
      <c r="C39" s="1">
        <v>2</v>
      </c>
      <c r="D39" s="35" t="s">
        <v>23</v>
      </c>
      <c r="E39" s="35" t="s">
        <v>25</v>
      </c>
      <c r="F39" s="36">
        <v>250000</v>
      </c>
      <c r="G39" s="31">
        <f t="shared" si="5"/>
        <v>500000</v>
      </c>
      <c r="I39" s="4">
        <v>13</v>
      </c>
      <c r="J39" s="2" t="s">
        <v>60</v>
      </c>
      <c r="K39" s="1">
        <v>2</v>
      </c>
      <c r="L39" s="35" t="s">
        <v>23</v>
      </c>
      <c r="M39" s="35" t="s">
        <v>25</v>
      </c>
      <c r="N39" s="36">
        <f t="shared" si="6"/>
        <v>275000</v>
      </c>
      <c r="O39" s="31">
        <f t="shared" si="7"/>
        <v>550000</v>
      </c>
      <c r="Q39" s="4">
        <v>13</v>
      </c>
      <c r="R39" s="2" t="s">
        <v>60</v>
      </c>
      <c r="S39" s="1">
        <v>2</v>
      </c>
      <c r="T39" s="35" t="s">
        <v>23</v>
      </c>
      <c r="U39" s="35" t="s">
        <v>25</v>
      </c>
      <c r="V39" s="36">
        <f>F39*$U$5</f>
        <v>275000</v>
      </c>
      <c r="W39" s="31">
        <f t="shared" si="8"/>
        <v>550000</v>
      </c>
      <c r="Y39" s="4">
        <v>13</v>
      </c>
      <c r="Z39" s="2" t="s">
        <v>60</v>
      </c>
      <c r="AA39" s="1">
        <v>2</v>
      </c>
      <c r="AB39" s="35" t="s">
        <v>23</v>
      </c>
      <c r="AC39" s="35" t="s">
        <v>25</v>
      </c>
      <c r="AD39" s="36">
        <f>F39*$AC$5</f>
        <v>287500</v>
      </c>
      <c r="AE39" s="31">
        <f t="shared" si="9"/>
        <v>575000</v>
      </c>
      <c r="AG39" s="4">
        <v>13</v>
      </c>
      <c r="AH39" s="2" t="s">
        <v>60</v>
      </c>
      <c r="AI39" s="1">
        <v>2</v>
      </c>
      <c r="AJ39" s="35" t="s">
        <v>23</v>
      </c>
      <c r="AK39" s="35" t="s">
        <v>25</v>
      </c>
      <c r="AL39" s="36">
        <f>F39*$AK$5</f>
        <v>287500</v>
      </c>
      <c r="AM39" s="31">
        <f t="shared" si="10"/>
        <v>575000</v>
      </c>
    </row>
    <row r="40" spans="1:39" s="3" customFormat="1" ht="14.55" customHeight="1" x14ac:dyDescent="0.45">
      <c r="A40" s="39">
        <v>14</v>
      </c>
      <c r="B40" s="2" t="s">
        <v>61</v>
      </c>
      <c r="C40" s="1">
        <v>1</v>
      </c>
      <c r="D40" s="35" t="s">
        <v>23</v>
      </c>
      <c r="E40" s="35" t="s">
        <v>25</v>
      </c>
      <c r="F40" s="36">
        <v>1000000</v>
      </c>
      <c r="G40" s="31">
        <f t="shared" si="5"/>
        <v>1000000</v>
      </c>
      <c r="I40" s="39">
        <v>14</v>
      </c>
      <c r="J40" s="2" t="s">
        <v>61</v>
      </c>
      <c r="K40" s="1">
        <v>1</v>
      </c>
      <c r="L40" s="35" t="s">
        <v>23</v>
      </c>
      <c r="M40" s="35" t="s">
        <v>25</v>
      </c>
      <c r="N40" s="36">
        <f t="shared" si="6"/>
        <v>1100000</v>
      </c>
      <c r="O40" s="31">
        <f t="shared" si="7"/>
        <v>1100000</v>
      </c>
      <c r="Q40" s="39">
        <v>14</v>
      </c>
      <c r="R40" s="2" t="s">
        <v>61</v>
      </c>
      <c r="S40" s="1">
        <v>1</v>
      </c>
      <c r="T40" s="35" t="s">
        <v>23</v>
      </c>
      <c r="U40" s="35" t="s">
        <v>25</v>
      </c>
      <c r="V40" s="36">
        <f>F40*$U$5</f>
        <v>1100000</v>
      </c>
      <c r="W40" s="31">
        <f t="shared" si="8"/>
        <v>1100000</v>
      </c>
      <c r="Y40" s="39">
        <v>14</v>
      </c>
      <c r="Z40" s="2" t="s">
        <v>61</v>
      </c>
      <c r="AA40" s="1">
        <v>1</v>
      </c>
      <c r="AB40" s="35" t="s">
        <v>23</v>
      </c>
      <c r="AC40" s="35" t="s">
        <v>25</v>
      </c>
      <c r="AD40" s="36">
        <f>F40*$AC$5</f>
        <v>1150000</v>
      </c>
      <c r="AE40" s="31">
        <f t="shared" si="9"/>
        <v>1150000</v>
      </c>
      <c r="AG40" s="39">
        <v>14</v>
      </c>
      <c r="AH40" s="2" t="s">
        <v>61</v>
      </c>
      <c r="AI40" s="1">
        <v>1</v>
      </c>
      <c r="AJ40" s="35" t="s">
        <v>23</v>
      </c>
      <c r="AK40" s="35" t="s">
        <v>25</v>
      </c>
      <c r="AL40" s="36">
        <f>F40*$AK$5</f>
        <v>1150000</v>
      </c>
      <c r="AM40" s="31">
        <f t="shared" si="10"/>
        <v>1150000</v>
      </c>
    </row>
    <row r="41" spans="1:39" s="3" customFormat="1" ht="14.55" customHeight="1" x14ac:dyDescent="0.45">
      <c r="A41" s="39"/>
      <c r="B41" s="10"/>
      <c r="C41" s="1"/>
      <c r="D41" s="35"/>
      <c r="E41" s="35"/>
      <c r="F41" s="36"/>
      <c r="G41" s="31"/>
      <c r="I41" s="39"/>
      <c r="J41" s="10"/>
      <c r="K41" s="1"/>
      <c r="L41" s="35"/>
      <c r="M41" s="35"/>
      <c r="N41" s="36"/>
      <c r="O41" s="31"/>
      <c r="Q41" s="39"/>
      <c r="R41" s="10"/>
      <c r="S41" s="1"/>
      <c r="T41" s="35"/>
      <c r="U41" s="35"/>
      <c r="V41" s="36"/>
      <c r="W41" s="31"/>
      <c r="Y41" s="39"/>
      <c r="Z41" s="10"/>
      <c r="AA41" s="1"/>
      <c r="AB41" s="35"/>
      <c r="AC41" s="35"/>
      <c r="AD41" s="36"/>
      <c r="AE41" s="31"/>
      <c r="AG41" s="39"/>
      <c r="AH41" s="10"/>
      <c r="AI41" s="1"/>
      <c r="AJ41" s="35"/>
      <c r="AK41" s="35"/>
      <c r="AL41" s="36"/>
      <c r="AM41" s="31"/>
    </row>
    <row r="42" spans="1:39" x14ac:dyDescent="0.45">
      <c r="A42" s="27" t="s">
        <v>62</v>
      </c>
      <c r="B42" s="41" t="s">
        <v>63</v>
      </c>
      <c r="C42" s="32"/>
      <c r="D42" s="32"/>
      <c r="E42" s="32"/>
      <c r="F42" s="33"/>
      <c r="G42" s="29">
        <f>SUM(G43:G50)</f>
        <v>12795000</v>
      </c>
      <c r="I42" s="27" t="s">
        <v>62</v>
      </c>
      <c r="J42" s="41" t="s">
        <v>63</v>
      </c>
      <c r="K42" s="32"/>
      <c r="L42" s="32"/>
      <c r="M42" s="32"/>
      <c r="N42" s="33"/>
      <c r="O42" s="29">
        <f>SUM(O43:O50)</f>
        <v>14074500.000000002</v>
      </c>
      <c r="Q42" s="27" t="s">
        <v>62</v>
      </c>
      <c r="R42" s="41" t="s">
        <v>63</v>
      </c>
      <c r="S42" s="32"/>
      <c r="T42" s="32"/>
      <c r="U42" s="32"/>
      <c r="V42" s="33"/>
      <c r="W42" s="29">
        <f>SUM(W43:W50)</f>
        <v>14074500.000000002</v>
      </c>
      <c r="Y42" s="27" t="s">
        <v>62</v>
      </c>
      <c r="Z42" s="41" t="s">
        <v>63</v>
      </c>
      <c r="AA42" s="32"/>
      <c r="AB42" s="32"/>
      <c r="AC42" s="32"/>
      <c r="AD42" s="33"/>
      <c r="AE42" s="29">
        <f>SUM(AE43:AE50)</f>
        <v>14714249.999999998</v>
      </c>
      <c r="AG42" s="27" t="s">
        <v>62</v>
      </c>
      <c r="AH42" s="41" t="s">
        <v>63</v>
      </c>
      <c r="AI42" s="32"/>
      <c r="AJ42" s="32"/>
      <c r="AK42" s="32"/>
      <c r="AL42" s="33"/>
      <c r="AM42" s="29">
        <f>SUM(AM43:AM50)</f>
        <v>14714249.999999998</v>
      </c>
    </row>
    <row r="43" spans="1:39" ht="26.55" customHeight="1" x14ac:dyDescent="0.45">
      <c r="A43" s="4">
        <v>1</v>
      </c>
      <c r="B43" s="35" t="s">
        <v>64</v>
      </c>
      <c r="C43" s="35">
        <v>25</v>
      </c>
      <c r="D43" s="35" t="s">
        <v>65</v>
      </c>
      <c r="E43" s="34" t="s">
        <v>66</v>
      </c>
      <c r="F43" s="36">
        <v>175200</v>
      </c>
      <c r="G43" s="31">
        <f t="shared" ref="G43:G50" si="11">C43*F43</f>
        <v>4380000</v>
      </c>
      <c r="I43" s="4">
        <v>1</v>
      </c>
      <c r="J43" s="35" t="s">
        <v>64</v>
      </c>
      <c r="K43" s="35">
        <v>25</v>
      </c>
      <c r="L43" s="35" t="s">
        <v>65</v>
      </c>
      <c r="M43" s="34" t="s">
        <v>66</v>
      </c>
      <c r="N43" s="36">
        <f t="shared" ref="N43:N50" si="12">F43*$M$5</f>
        <v>192720.00000000003</v>
      </c>
      <c r="O43" s="31">
        <f t="shared" ref="O43:O50" si="13">K43*N43</f>
        <v>4818000.0000000009</v>
      </c>
      <c r="Q43" s="4">
        <v>1</v>
      </c>
      <c r="R43" s="35" t="s">
        <v>64</v>
      </c>
      <c r="S43" s="35">
        <v>25</v>
      </c>
      <c r="T43" s="35" t="s">
        <v>65</v>
      </c>
      <c r="U43" s="34" t="s">
        <v>66</v>
      </c>
      <c r="V43" s="36">
        <f>F43*$U$5</f>
        <v>192720.00000000003</v>
      </c>
      <c r="W43" s="31">
        <f t="shared" ref="W43:W50" si="14">S43*V43</f>
        <v>4818000.0000000009</v>
      </c>
      <c r="Y43" s="4">
        <v>1</v>
      </c>
      <c r="Z43" s="35" t="s">
        <v>64</v>
      </c>
      <c r="AA43" s="35">
        <v>25</v>
      </c>
      <c r="AB43" s="35" t="s">
        <v>65</v>
      </c>
      <c r="AC43" s="34" t="s">
        <v>66</v>
      </c>
      <c r="AD43" s="36">
        <f>F43*$AC$5</f>
        <v>201479.99999999997</v>
      </c>
      <c r="AE43" s="31">
        <f t="shared" ref="AE43:AE50" si="15">AA43*AD43</f>
        <v>5036999.9999999991</v>
      </c>
      <c r="AG43" s="4">
        <v>1</v>
      </c>
      <c r="AH43" s="35" t="s">
        <v>64</v>
      </c>
      <c r="AI43" s="35">
        <v>25</v>
      </c>
      <c r="AJ43" s="35" t="s">
        <v>65</v>
      </c>
      <c r="AK43" s="34" t="s">
        <v>66</v>
      </c>
      <c r="AL43" s="36">
        <f>F43*$AK$5</f>
        <v>201479.99999999997</v>
      </c>
      <c r="AM43" s="31">
        <f t="shared" ref="AM43:AM50" si="16">AI43*AL43</f>
        <v>5036999.9999999991</v>
      </c>
    </row>
    <row r="44" spans="1:39" ht="26.55" customHeight="1" x14ac:dyDescent="0.45">
      <c r="A44" s="4">
        <v>2</v>
      </c>
      <c r="B44" s="35" t="s">
        <v>67</v>
      </c>
      <c r="C44" s="35">
        <v>25</v>
      </c>
      <c r="D44" s="35" t="s">
        <v>65</v>
      </c>
      <c r="E44" s="34" t="s">
        <v>66</v>
      </c>
      <c r="F44" s="36">
        <v>175200</v>
      </c>
      <c r="G44" s="31">
        <f t="shared" ref="G44" si="17">C44*F44</f>
        <v>4380000</v>
      </c>
      <c r="I44" s="4">
        <v>2</v>
      </c>
      <c r="J44" s="35" t="s">
        <v>67</v>
      </c>
      <c r="K44" s="35">
        <v>25</v>
      </c>
      <c r="L44" s="35" t="s">
        <v>65</v>
      </c>
      <c r="M44" s="34" t="s">
        <v>66</v>
      </c>
      <c r="N44" s="36">
        <f t="shared" si="12"/>
        <v>192720.00000000003</v>
      </c>
      <c r="O44" s="31">
        <f t="shared" si="13"/>
        <v>4818000.0000000009</v>
      </c>
      <c r="Q44" s="4">
        <v>2</v>
      </c>
      <c r="R44" s="35" t="s">
        <v>67</v>
      </c>
      <c r="S44" s="35">
        <v>25</v>
      </c>
      <c r="T44" s="35" t="s">
        <v>65</v>
      </c>
      <c r="U44" s="34" t="s">
        <v>66</v>
      </c>
      <c r="V44" s="36">
        <f>F44*$U$5</f>
        <v>192720.00000000003</v>
      </c>
      <c r="W44" s="31">
        <f t="shared" si="14"/>
        <v>4818000.0000000009</v>
      </c>
      <c r="Y44" s="4">
        <v>2</v>
      </c>
      <c r="Z44" s="35" t="s">
        <v>67</v>
      </c>
      <c r="AA44" s="35">
        <v>25</v>
      </c>
      <c r="AB44" s="35" t="s">
        <v>65</v>
      </c>
      <c r="AC44" s="34" t="s">
        <v>66</v>
      </c>
      <c r="AD44" s="36">
        <f>F44*$AC$5</f>
        <v>201479.99999999997</v>
      </c>
      <c r="AE44" s="31">
        <f t="shared" si="15"/>
        <v>5036999.9999999991</v>
      </c>
      <c r="AG44" s="4">
        <v>2</v>
      </c>
      <c r="AH44" s="35" t="s">
        <v>67</v>
      </c>
      <c r="AI44" s="35">
        <v>25</v>
      </c>
      <c r="AJ44" s="35" t="s">
        <v>65</v>
      </c>
      <c r="AK44" s="34" t="s">
        <v>66</v>
      </c>
      <c r="AL44" s="36">
        <f>F44*$AK$5</f>
        <v>201479.99999999997</v>
      </c>
      <c r="AM44" s="31">
        <f t="shared" si="16"/>
        <v>5036999.9999999991</v>
      </c>
    </row>
    <row r="45" spans="1:39" ht="26.55" customHeight="1" x14ac:dyDescent="0.45">
      <c r="A45" s="4">
        <v>3</v>
      </c>
      <c r="B45" s="35" t="s">
        <v>68</v>
      </c>
      <c r="C45" s="35">
        <v>15</v>
      </c>
      <c r="D45" s="35" t="s">
        <v>65</v>
      </c>
      <c r="E45" s="34" t="s">
        <v>66</v>
      </c>
      <c r="F45" s="36">
        <v>18000</v>
      </c>
      <c r="G45" s="31">
        <f t="shared" si="11"/>
        <v>270000</v>
      </c>
      <c r="I45" s="4">
        <v>3</v>
      </c>
      <c r="J45" s="35" t="s">
        <v>68</v>
      </c>
      <c r="K45" s="35">
        <v>15</v>
      </c>
      <c r="L45" s="35" t="s">
        <v>65</v>
      </c>
      <c r="M45" s="34" t="s">
        <v>66</v>
      </c>
      <c r="N45" s="36">
        <f t="shared" si="12"/>
        <v>19800</v>
      </c>
      <c r="O45" s="31">
        <f t="shared" si="13"/>
        <v>297000</v>
      </c>
      <c r="Q45" s="4">
        <v>3</v>
      </c>
      <c r="R45" s="35" t="s">
        <v>68</v>
      </c>
      <c r="S45" s="35">
        <v>15</v>
      </c>
      <c r="T45" s="35" t="s">
        <v>65</v>
      </c>
      <c r="U45" s="34" t="s">
        <v>66</v>
      </c>
      <c r="V45" s="36">
        <f>F45*$U$5</f>
        <v>19800</v>
      </c>
      <c r="W45" s="31">
        <f t="shared" si="14"/>
        <v>297000</v>
      </c>
      <c r="Y45" s="4">
        <v>3</v>
      </c>
      <c r="Z45" s="35" t="s">
        <v>68</v>
      </c>
      <c r="AA45" s="35">
        <v>15</v>
      </c>
      <c r="AB45" s="35" t="s">
        <v>65</v>
      </c>
      <c r="AC45" s="34" t="s">
        <v>66</v>
      </c>
      <c r="AD45" s="36">
        <f>F45*$AC$5</f>
        <v>20700</v>
      </c>
      <c r="AE45" s="31">
        <f t="shared" si="15"/>
        <v>310500</v>
      </c>
      <c r="AG45" s="4">
        <v>3</v>
      </c>
      <c r="AH45" s="35" t="s">
        <v>68</v>
      </c>
      <c r="AI45" s="35">
        <v>15</v>
      </c>
      <c r="AJ45" s="35" t="s">
        <v>65</v>
      </c>
      <c r="AK45" s="34" t="s">
        <v>66</v>
      </c>
      <c r="AL45" s="36">
        <f>F45*$AK$5</f>
        <v>20700</v>
      </c>
      <c r="AM45" s="31">
        <f t="shared" si="16"/>
        <v>310500</v>
      </c>
    </row>
    <row r="46" spans="1:39" x14ac:dyDescent="0.45">
      <c r="A46" s="4">
        <v>4</v>
      </c>
      <c r="B46" s="35" t="s">
        <v>69</v>
      </c>
      <c r="C46" s="35">
        <v>30</v>
      </c>
      <c r="D46" s="35" t="s">
        <v>65</v>
      </c>
      <c r="E46" s="35" t="s">
        <v>25</v>
      </c>
      <c r="F46" s="36">
        <v>42500</v>
      </c>
      <c r="G46" s="31">
        <f t="shared" si="11"/>
        <v>1275000</v>
      </c>
      <c r="I46" s="4">
        <v>4</v>
      </c>
      <c r="J46" s="35" t="s">
        <v>69</v>
      </c>
      <c r="K46" s="35">
        <v>30</v>
      </c>
      <c r="L46" s="35" t="s">
        <v>65</v>
      </c>
      <c r="M46" s="35" t="s">
        <v>25</v>
      </c>
      <c r="N46" s="36">
        <f t="shared" si="12"/>
        <v>46750.000000000007</v>
      </c>
      <c r="O46" s="31">
        <f t="shared" si="13"/>
        <v>1402500.0000000002</v>
      </c>
      <c r="Q46" s="4">
        <v>4</v>
      </c>
      <c r="R46" s="35" t="s">
        <v>69</v>
      </c>
      <c r="S46" s="35">
        <v>30</v>
      </c>
      <c r="T46" s="35" t="s">
        <v>65</v>
      </c>
      <c r="U46" s="35" t="s">
        <v>25</v>
      </c>
      <c r="V46" s="36">
        <f>F46*$U$5</f>
        <v>46750.000000000007</v>
      </c>
      <c r="W46" s="31">
        <f t="shared" si="14"/>
        <v>1402500.0000000002</v>
      </c>
      <c r="Y46" s="4">
        <v>4</v>
      </c>
      <c r="Z46" s="35" t="s">
        <v>69</v>
      </c>
      <c r="AA46" s="35">
        <v>30</v>
      </c>
      <c r="AB46" s="35" t="s">
        <v>65</v>
      </c>
      <c r="AC46" s="35" t="s">
        <v>25</v>
      </c>
      <c r="AD46" s="36">
        <f>F46*$AC$5</f>
        <v>48874.999999999993</v>
      </c>
      <c r="AE46" s="31">
        <f t="shared" si="15"/>
        <v>1466249.9999999998</v>
      </c>
      <c r="AG46" s="4">
        <v>4</v>
      </c>
      <c r="AH46" s="35" t="s">
        <v>69</v>
      </c>
      <c r="AI46" s="35">
        <v>30</v>
      </c>
      <c r="AJ46" s="35" t="s">
        <v>65</v>
      </c>
      <c r="AK46" s="35" t="s">
        <v>25</v>
      </c>
      <c r="AL46" s="36">
        <f>F46*$AK$5</f>
        <v>48874.999999999993</v>
      </c>
      <c r="AM46" s="31">
        <f t="shared" si="16"/>
        <v>1466249.9999999998</v>
      </c>
    </row>
    <row r="47" spans="1:39" x14ac:dyDescent="0.45">
      <c r="A47" s="4">
        <v>5</v>
      </c>
      <c r="B47" s="35" t="s">
        <v>70</v>
      </c>
      <c r="C47" s="35">
        <v>30</v>
      </c>
      <c r="D47" s="35" t="s">
        <v>65</v>
      </c>
      <c r="E47" s="35" t="s">
        <v>71</v>
      </c>
      <c r="F47" s="36">
        <v>15000</v>
      </c>
      <c r="G47" s="31">
        <f t="shared" ref="G47" si="18">C47*F47</f>
        <v>450000</v>
      </c>
      <c r="I47" s="4">
        <v>5</v>
      </c>
      <c r="J47" s="35" t="s">
        <v>70</v>
      </c>
      <c r="K47" s="35">
        <v>30</v>
      </c>
      <c r="L47" s="35" t="s">
        <v>65</v>
      </c>
      <c r="M47" s="35" t="s">
        <v>71</v>
      </c>
      <c r="N47" s="36">
        <f t="shared" si="12"/>
        <v>16500</v>
      </c>
      <c r="O47" s="31">
        <f t="shared" si="13"/>
        <v>495000</v>
      </c>
      <c r="Q47" s="4">
        <v>5</v>
      </c>
      <c r="R47" s="35" t="s">
        <v>70</v>
      </c>
      <c r="S47" s="35">
        <v>30</v>
      </c>
      <c r="T47" s="35" t="s">
        <v>65</v>
      </c>
      <c r="U47" s="35" t="s">
        <v>71</v>
      </c>
      <c r="V47" s="36">
        <f>F47*$U$5</f>
        <v>16500</v>
      </c>
      <c r="W47" s="31">
        <f t="shared" si="14"/>
        <v>495000</v>
      </c>
      <c r="Y47" s="4">
        <v>5</v>
      </c>
      <c r="Z47" s="35" t="s">
        <v>70</v>
      </c>
      <c r="AA47" s="35">
        <v>30</v>
      </c>
      <c r="AB47" s="35" t="s">
        <v>65</v>
      </c>
      <c r="AC47" s="35" t="s">
        <v>71</v>
      </c>
      <c r="AD47" s="36">
        <f>F47*$AC$5</f>
        <v>17250</v>
      </c>
      <c r="AE47" s="31">
        <f t="shared" si="15"/>
        <v>517500</v>
      </c>
      <c r="AG47" s="4">
        <v>5</v>
      </c>
      <c r="AH47" s="35" t="s">
        <v>70</v>
      </c>
      <c r="AI47" s="35">
        <v>30</v>
      </c>
      <c r="AJ47" s="35" t="s">
        <v>65</v>
      </c>
      <c r="AK47" s="35" t="s">
        <v>71</v>
      </c>
      <c r="AL47" s="36">
        <f>F47*$AK$5</f>
        <v>17250</v>
      </c>
      <c r="AM47" s="31">
        <f t="shared" si="16"/>
        <v>517500</v>
      </c>
    </row>
    <row r="48" spans="1:39" x14ac:dyDescent="0.45">
      <c r="A48" s="4">
        <v>6</v>
      </c>
      <c r="B48" s="35" t="s">
        <v>72</v>
      </c>
      <c r="C48" s="35">
        <v>3</v>
      </c>
      <c r="D48" s="35" t="s">
        <v>23</v>
      </c>
      <c r="E48" s="35" t="s">
        <v>71</v>
      </c>
      <c r="F48" s="36">
        <v>15000</v>
      </c>
      <c r="G48" s="31">
        <f t="shared" si="11"/>
        <v>45000</v>
      </c>
      <c r="I48" s="4">
        <v>6</v>
      </c>
      <c r="J48" s="35" t="s">
        <v>72</v>
      </c>
      <c r="K48" s="35">
        <v>3</v>
      </c>
      <c r="L48" s="35" t="s">
        <v>23</v>
      </c>
      <c r="M48" s="35" t="s">
        <v>71</v>
      </c>
      <c r="N48" s="36">
        <f t="shared" si="12"/>
        <v>16500</v>
      </c>
      <c r="O48" s="31">
        <f t="shared" si="13"/>
        <v>49500</v>
      </c>
      <c r="Q48" s="4">
        <v>6</v>
      </c>
      <c r="R48" s="35" t="s">
        <v>72</v>
      </c>
      <c r="S48" s="35">
        <v>3</v>
      </c>
      <c r="T48" s="35" t="s">
        <v>23</v>
      </c>
      <c r="U48" s="35" t="s">
        <v>71</v>
      </c>
      <c r="V48" s="36">
        <f>F48*$U$5</f>
        <v>16500</v>
      </c>
      <c r="W48" s="31">
        <f t="shared" si="14"/>
        <v>49500</v>
      </c>
      <c r="Y48" s="4">
        <v>6</v>
      </c>
      <c r="Z48" s="35" t="s">
        <v>72</v>
      </c>
      <c r="AA48" s="35">
        <v>3</v>
      </c>
      <c r="AB48" s="35" t="s">
        <v>23</v>
      </c>
      <c r="AC48" s="35" t="s">
        <v>71</v>
      </c>
      <c r="AD48" s="36">
        <f>F48*$AC$5</f>
        <v>17250</v>
      </c>
      <c r="AE48" s="31">
        <f t="shared" si="15"/>
        <v>51750</v>
      </c>
      <c r="AG48" s="4">
        <v>6</v>
      </c>
      <c r="AH48" s="35" t="s">
        <v>72</v>
      </c>
      <c r="AI48" s="35">
        <v>3</v>
      </c>
      <c r="AJ48" s="35" t="s">
        <v>23</v>
      </c>
      <c r="AK48" s="35" t="s">
        <v>71</v>
      </c>
      <c r="AL48" s="36">
        <f>F48*$AK$5</f>
        <v>17250</v>
      </c>
      <c r="AM48" s="31">
        <f t="shared" si="16"/>
        <v>51750</v>
      </c>
    </row>
    <row r="49" spans="1:39" x14ac:dyDescent="0.45">
      <c r="A49" s="4">
        <v>7</v>
      </c>
      <c r="B49" s="35" t="s">
        <v>73</v>
      </c>
      <c r="C49" s="35">
        <v>3</v>
      </c>
      <c r="D49" s="35" t="s">
        <v>23</v>
      </c>
      <c r="E49" s="35" t="s">
        <v>71</v>
      </c>
      <c r="F49" s="36">
        <v>15000</v>
      </c>
      <c r="G49" s="31">
        <f t="shared" si="11"/>
        <v>45000</v>
      </c>
      <c r="I49" s="4">
        <v>7</v>
      </c>
      <c r="J49" s="35" t="s">
        <v>73</v>
      </c>
      <c r="K49" s="35">
        <v>3</v>
      </c>
      <c r="L49" s="35" t="s">
        <v>23</v>
      </c>
      <c r="M49" s="35" t="s">
        <v>71</v>
      </c>
      <c r="N49" s="36">
        <f t="shared" si="12"/>
        <v>16500</v>
      </c>
      <c r="O49" s="31">
        <f t="shared" si="13"/>
        <v>49500</v>
      </c>
      <c r="Q49" s="4">
        <v>7</v>
      </c>
      <c r="R49" s="35" t="s">
        <v>73</v>
      </c>
      <c r="S49" s="35">
        <v>3</v>
      </c>
      <c r="T49" s="35" t="s">
        <v>23</v>
      </c>
      <c r="U49" s="35" t="s">
        <v>71</v>
      </c>
      <c r="V49" s="36">
        <f>F49*$U$5</f>
        <v>16500</v>
      </c>
      <c r="W49" s="31">
        <f t="shared" si="14"/>
        <v>49500</v>
      </c>
      <c r="Y49" s="4">
        <v>7</v>
      </c>
      <c r="Z49" s="35" t="s">
        <v>73</v>
      </c>
      <c r="AA49" s="35">
        <v>3</v>
      </c>
      <c r="AB49" s="35" t="s">
        <v>23</v>
      </c>
      <c r="AC49" s="35" t="s">
        <v>71</v>
      </c>
      <c r="AD49" s="36">
        <f>F49*$AC$5</f>
        <v>17250</v>
      </c>
      <c r="AE49" s="31">
        <f t="shared" si="15"/>
        <v>51750</v>
      </c>
      <c r="AG49" s="4">
        <v>7</v>
      </c>
      <c r="AH49" s="35" t="s">
        <v>73</v>
      </c>
      <c r="AI49" s="35">
        <v>3</v>
      </c>
      <c r="AJ49" s="35" t="s">
        <v>23</v>
      </c>
      <c r="AK49" s="35" t="s">
        <v>71</v>
      </c>
      <c r="AL49" s="36">
        <f>F49*$AK$5</f>
        <v>17250</v>
      </c>
      <c r="AM49" s="31">
        <f t="shared" si="16"/>
        <v>51750</v>
      </c>
    </row>
    <row r="50" spans="1:39" x14ac:dyDescent="0.45">
      <c r="A50" s="4">
        <v>8</v>
      </c>
      <c r="B50" s="35" t="s">
        <v>74</v>
      </c>
      <c r="C50" s="35">
        <v>30</v>
      </c>
      <c r="D50" s="35" t="s">
        <v>65</v>
      </c>
      <c r="E50" s="35" t="s">
        <v>25</v>
      </c>
      <c r="F50" s="36">
        <v>65000</v>
      </c>
      <c r="G50" s="31">
        <f t="shared" si="11"/>
        <v>1950000</v>
      </c>
      <c r="I50" s="4">
        <v>8</v>
      </c>
      <c r="J50" s="35" t="s">
        <v>74</v>
      </c>
      <c r="K50" s="35">
        <v>30</v>
      </c>
      <c r="L50" s="35" t="s">
        <v>65</v>
      </c>
      <c r="M50" s="35" t="s">
        <v>25</v>
      </c>
      <c r="N50" s="36">
        <f t="shared" si="12"/>
        <v>71500</v>
      </c>
      <c r="O50" s="31">
        <f t="shared" si="13"/>
        <v>2145000</v>
      </c>
      <c r="Q50" s="4">
        <v>8</v>
      </c>
      <c r="R50" s="35" t="s">
        <v>74</v>
      </c>
      <c r="S50" s="35">
        <v>30</v>
      </c>
      <c r="T50" s="35" t="s">
        <v>65</v>
      </c>
      <c r="U50" s="35" t="s">
        <v>25</v>
      </c>
      <c r="V50" s="36">
        <f>F50*$U$5</f>
        <v>71500</v>
      </c>
      <c r="W50" s="31">
        <f t="shared" si="14"/>
        <v>2145000</v>
      </c>
      <c r="Y50" s="4">
        <v>8</v>
      </c>
      <c r="Z50" s="35" t="s">
        <v>74</v>
      </c>
      <c r="AA50" s="35">
        <v>30</v>
      </c>
      <c r="AB50" s="35" t="s">
        <v>65</v>
      </c>
      <c r="AC50" s="35" t="s">
        <v>25</v>
      </c>
      <c r="AD50" s="36">
        <f>F50*$AC$5</f>
        <v>74750</v>
      </c>
      <c r="AE50" s="31">
        <f t="shared" si="15"/>
        <v>2242500</v>
      </c>
      <c r="AG50" s="4">
        <v>8</v>
      </c>
      <c r="AH50" s="35" t="s">
        <v>74</v>
      </c>
      <c r="AI50" s="35">
        <v>30</v>
      </c>
      <c r="AJ50" s="35" t="s">
        <v>65</v>
      </c>
      <c r="AK50" s="35" t="s">
        <v>25</v>
      </c>
      <c r="AL50" s="36">
        <f>F50*$AK$5</f>
        <v>74750</v>
      </c>
      <c r="AM50" s="31">
        <f t="shared" si="16"/>
        <v>2242500</v>
      </c>
    </row>
    <row r="51" spans="1:39" x14ac:dyDescent="0.45">
      <c r="B51" s="42"/>
      <c r="C51" s="42"/>
      <c r="D51" s="42"/>
      <c r="E51" s="42"/>
      <c r="F51" s="43"/>
      <c r="G51" s="44"/>
      <c r="J51" s="42"/>
      <c r="K51" s="42"/>
      <c r="L51" s="42"/>
      <c r="M51" s="42"/>
      <c r="N51" s="43"/>
      <c r="O51" s="44"/>
      <c r="R51" s="42"/>
      <c r="S51" s="42"/>
      <c r="T51" s="42"/>
      <c r="U51" s="42"/>
      <c r="V51" s="43"/>
      <c r="W51" s="44"/>
      <c r="Z51" s="42"/>
      <c r="AA51" s="42"/>
      <c r="AB51" s="42"/>
      <c r="AC51" s="42"/>
      <c r="AD51" s="43"/>
      <c r="AE51" s="44"/>
      <c r="AH51" s="42"/>
      <c r="AI51" s="42"/>
      <c r="AJ51" s="42"/>
      <c r="AK51" s="42"/>
      <c r="AL51" s="43"/>
      <c r="AM51" s="44"/>
    </row>
    <row r="52" spans="1:39" x14ac:dyDescent="0.45">
      <c r="A52" s="45" t="s">
        <v>75</v>
      </c>
      <c r="B52" s="46" t="s">
        <v>76</v>
      </c>
      <c r="C52" s="47">
        <v>1</v>
      </c>
      <c r="D52" s="47" t="s">
        <v>16</v>
      </c>
      <c r="E52" s="47"/>
      <c r="F52" s="48">
        <v>1000000</v>
      </c>
      <c r="G52" s="48">
        <f>C52*F52</f>
        <v>1000000</v>
      </c>
      <c r="I52" s="45" t="s">
        <v>75</v>
      </c>
      <c r="J52" s="46" t="s">
        <v>77</v>
      </c>
      <c r="K52" s="47">
        <v>1</v>
      </c>
      <c r="L52" s="47" t="s">
        <v>16</v>
      </c>
      <c r="M52" s="47"/>
      <c r="N52" s="48">
        <f>F52*$M$5</f>
        <v>1100000</v>
      </c>
      <c r="O52" s="48">
        <f>K52*N52</f>
        <v>1100000</v>
      </c>
      <c r="Q52" s="45" t="s">
        <v>75</v>
      </c>
      <c r="R52" s="46" t="s">
        <v>78</v>
      </c>
      <c r="S52" s="47">
        <v>1</v>
      </c>
      <c r="T52" s="47" t="s">
        <v>16</v>
      </c>
      <c r="U52" s="47"/>
      <c r="V52" s="48">
        <f>F52*$U$5</f>
        <v>1100000</v>
      </c>
      <c r="W52" s="48">
        <f>S52*V52</f>
        <v>1100000</v>
      </c>
      <c r="Y52" s="45" t="s">
        <v>75</v>
      </c>
      <c r="Z52" s="46" t="s">
        <v>79</v>
      </c>
      <c r="AA52" s="47">
        <v>1</v>
      </c>
      <c r="AB52" s="47" t="s">
        <v>16</v>
      </c>
      <c r="AC52" s="47"/>
      <c r="AD52" s="48">
        <f>F52*$AC$5</f>
        <v>1150000</v>
      </c>
      <c r="AE52" s="48">
        <f>AA52*AD52</f>
        <v>1150000</v>
      </c>
      <c r="AG52" s="45" t="s">
        <v>75</v>
      </c>
      <c r="AH52" s="46" t="s">
        <v>80</v>
      </c>
      <c r="AI52" s="47">
        <v>1</v>
      </c>
      <c r="AJ52" s="47" t="s">
        <v>16</v>
      </c>
      <c r="AK52" s="47"/>
      <c r="AL52" s="48">
        <f>F52*$AK$5</f>
        <v>1150000</v>
      </c>
      <c r="AM52" s="48">
        <f>AI52*AL52</f>
        <v>1150000</v>
      </c>
    </row>
    <row r="53" spans="1:39" s="51" customFormat="1" x14ac:dyDescent="0.45">
      <c r="A53" s="49"/>
      <c r="B53" s="50"/>
      <c r="C53" s="35"/>
      <c r="D53" s="35"/>
      <c r="E53" s="35"/>
      <c r="F53" s="36"/>
      <c r="G53" s="36"/>
      <c r="I53" s="49"/>
      <c r="J53" s="50"/>
      <c r="K53" s="35"/>
      <c r="L53" s="35"/>
      <c r="M53" s="35"/>
      <c r="N53" s="36"/>
      <c r="O53" s="36"/>
      <c r="Q53" s="49"/>
      <c r="R53" s="50"/>
      <c r="S53" s="35"/>
      <c r="T53" s="35"/>
      <c r="U53" s="35"/>
      <c r="V53" s="36"/>
      <c r="W53" s="36"/>
      <c r="Y53" s="49"/>
      <c r="Z53" s="50"/>
      <c r="AA53" s="35"/>
      <c r="AB53" s="35"/>
      <c r="AC53" s="35"/>
      <c r="AD53" s="36"/>
      <c r="AE53" s="36"/>
      <c r="AG53" s="49"/>
      <c r="AH53" s="50"/>
      <c r="AI53" s="35"/>
      <c r="AJ53" s="35"/>
      <c r="AK53" s="35"/>
      <c r="AL53" s="36"/>
      <c r="AM53" s="36"/>
    </row>
    <row r="54" spans="1:39" x14ac:dyDescent="0.45">
      <c r="F54" s="52" t="s">
        <v>81</v>
      </c>
      <c r="G54" s="52">
        <f>G8+G13+G20+G26+G42+G52</f>
        <v>43000000</v>
      </c>
      <c r="N54" s="52" t="s">
        <v>81</v>
      </c>
      <c r="O54" s="52">
        <f>O8+O13+O20+O26+O42+O52</f>
        <v>47100000</v>
      </c>
      <c r="V54" s="52" t="s">
        <v>81</v>
      </c>
      <c r="W54" s="52">
        <f>W8+W13+W20+W26+W42+W52</f>
        <v>47100000</v>
      </c>
      <c r="AD54" s="52" t="s">
        <v>81</v>
      </c>
      <c r="AE54" s="52">
        <f>AE8+AE13+AE20+AE26+AE42+AE52</f>
        <v>48900000</v>
      </c>
      <c r="AL54" s="52" t="s">
        <v>81</v>
      </c>
      <c r="AM54" s="52">
        <f>AM8+AM13+AM20+AM26+AM42+AM52</f>
        <v>49400000</v>
      </c>
    </row>
    <row r="55" spans="1:39" x14ac:dyDescent="0.45">
      <c r="F55" s="53" t="s">
        <v>82</v>
      </c>
      <c r="G55" s="53">
        <f>G54*11%</f>
        <v>4730000</v>
      </c>
      <c r="N55" s="53" t="s">
        <v>82</v>
      </c>
      <c r="O55" s="53">
        <f>O54*11%</f>
        <v>5181000</v>
      </c>
      <c r="V55" s="53" t="s">
        <v>82</v>
      </c>
      <c r="W55" s="53">
        <f>W54*11%</f>
        <v>5181000</v>
      </c>
      <c r="AD55" s="53" t="s">
        <v>82</v>
      </c>
      <c r="AE55" s="53">
        <f>AE54*11%</f>
        <v>5379000</v>
      </c>
      <c r="AL55" s="53" t="s">
        <v>82</v>
      </c>
      <c r="AM55" s="53">
        <f>AM54*11%</f>
        <v>5434000</v>
      </c>
    </row>
    <row r="56" spans="1:39" x14ac:dyDescent="0.45">
      <c r="F56" s="54" t="s">
        <v>83</v>
      </c>
      <c r="G56" s="54">
        <f>G54+G55</f>
        <v>47730000</v>
      </c>
      <c r="I56" s="16">
        <v>41500</v>
      </c>
      <c r="N56" s="54" t="s">
        <v>83</v>
      </c>
      <c r="O56" s="54">
        <f>O54+O55</f>
        <v>52281000</v>
      </c>
      <c r="V56" s="54" t="s">
        <v>83</v>
      </c>
      <c r="W56" s="54">
        <f>W54+W55</f>
        <v>52281000</v>
      </c>
      <c r="AD56" s="54" t="s">
        <v>83</v>
      </c>
      <c r="AE56" s="54">
        <f>AE54+AE55</f>
        <v>54279000</v>
      </c>
      <c r="AL56" s="54" t="s">
        <v>83</v>
      </c>
      <c r="AM56" s="54">
        <f>AM54+AM55</f>
        <v>54834000</v>
      </c>
    </row>
    <row r="57" spans="1:39" s="55" customFormat="1" x14ac:dyDescent="0.45">
      <c r="A57" s="16"/>
      <c r="B57" s="16"/>
      <c r="C57" s="16"/>
      <c r="D57" s="16"/>
      <c r="E57" s="16"/>
    </row>
  </sheetData>
  <mergeCells count="25">
    <mergeCell ref="AG1:AH1"/>
    <mergeCell ref="AG3:AJ3"/>
    <mergeCell ref="I1:J1"/>
    <mergeCell ref="I3:L3"/>
    <mergeCell ref="Q1:R1"/>
    <mergeCell ref="Q3:T3"/>
    <mergeCell ref="Y1:Z1"/>
    <mergeCell ref="Y3:AB3"/>
    <mergeCell ref="A1:B1"/>
    <mergeCell ref="A3:D3"/>
    <mergeCell ref="F5:G5"/>
    <mergeCell ref="C6:D6"/>
    <mergeCell ref="A7:D7"/>
    <mergeCell ref="N5:O5"/>
    <mergeCell ref="K6:L6"/>
    <mergeCell ref="I7:L7"/>
    <mergeCell ref="V5:W5"/>
    <mergeCell ref="S6:T6"/>
    <mergeCell ref="Q7:T7"/>
    <mergeCell ref="AL5:AM5"/>
    <mergeCell ref="AI6:AJ6"/>
    <mergeCell ref="AG7:AJ7"/>
    <mergeCell ref="AD5:AE5"/>
    <mergeCell ref="AA6:AB6"/>
    <mergeCell ref="Y7:AB7"/>
  </mergeCells>
  <pageMargins left="0.35433070866141736" right="0.23622047244094491" top="0.74803149606299213" bottom="0.74803149606299213" header="0.31496062992125984" footer="0.31496062992125984"/>
  <pageSetup paperSize="9" scale="4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A22A-C56C-412E-9492-0D9A4B2094D3}">
  <sheetPr>
    <tabColor rgb="FF92D050"/>
  </sheetPr>
  <dimension ref="A1:AM57"/>
  <sheetViews>
    <sheetView topLeftCell="Z1" zoomScale="55" zoomScaleNormal="55" zoomScaleSheetLayoutView="100" workbookViewId="0">
      <selection activeCell="U11" sqref="U11"/>
    </sheetView>
  </sheetViews>
  <sheetFormatPr defaultColWidth="8.73046875" defaultRowHeight="13.15" x14ac:dyDescent="0.45"/>
  <cols>
    <col min="1" max="1" width="6.73046875" style="16" customWidth="1"/>
    <col min="2" max="2" width="71.19921875" style="16" customWidth="1"/>
    <col min="3" max="3" width="11" style="16" customWidth="1"/>
    <col min="4" max="4" width="6.73046875" style="16" customWidth="1"/>
    <col min="5" max="5" width="23.33203125" style="16" bestFit="1" customWidth="1"/>
    <col min="6" max="6" width="23.59765625" style="16" bestFit="1" customWidth="1"/>
    <col min="7" max="7" width="21.265625" style="16" bestFit="1" customWidth="1"/>
    <col min="8" max="8" width="8.73046875" style="16"/>
    <col min="9" max="9" width="6.73046875" style="16" customWidth="1"/>
    <col min="10" max="10" width="71.19921875" style="16" customWidth="1"/>
    <col min="11" max="11" width="11" style="16" customWidth="1"/>
    <col min="12" max="12" width="6.73046875" style="16" customWidth="1"/>
    <col min="13" max="13" width="23.33203125" style="16" bestFit="1" customWidth="1"/>
    <col min="14" max="14" width="23.59765625" style="16" bestFit="1" customWidth="1"/>
    <col min="15" max="15" width="21.265625" style="16" bestFit="1" customWidth="1"/>
    <col min="16" max="16" width="8.73046875" style="16"/>
    <col min="17" max="17" width="6.73046875" style="16" customWidth="1"/>
    <col min="18" max="18" width="57.53125" style="16" customWidth="1"/>
    <col min="19" max="19" width="8.6640625" style="16" customWidth="1"/>
    <col min="20" max="20" width="6.73046875" style="16" customWidth="1"/>
    <col min="21" max="21" width="23.33203125" style="16" bestFit="1" customWidth="1"/>
    <col min="22" max="23" width="27.265625" style="16" customWidth="1"/>
    <col min="24" max="24" width="8.73046875" style="16"/>
    <col min="25" max="25" width="6.73046875" style="16" customWidth="1"/>
    <col min="26" max="26" width="71.19921875" style="16" customWidth="1"/>
    <col min="27" max="27" width="11" style="16" customWidth="1"/>
    <col min="28" max="28" width="6.73046875" style="16" customWidth="1"/>
    <col min="29" max="29" width="23.33203125" style="16" bestFit="1" customWidth="1"/>
    <col min="30" max="31" width="27.265625" style="16" customWidth="1"/>
    <col min="32" max="32" width="8.73046875" style="16"/>
    <col min="33" max="33" width="6.73046875" style="16" customWidth="1"/>
    <col min="34" max="34" width="71.19921875" style="16" customWidth="1"/>
    <col min="35" max="35" width="11" style="16" customWidth="1"/>
    <col min="36" max="36" width="6.73046875" style="16" customWidth="1"/>
    <col min="37" max="37" width="23.33203125" style="16" bestFit="1" customWidth="1"/>
    <col min="38" max="39" width="27.265625" style="16" customWidth="1"/>
    <col min="40" max="16384" width="8.73046875" style="16"/>
  </cols>
  <sheetData>
    <row r="1" spans="1:39" ht="31.15" customHeight="1" x14ac:dyDescent="0.45">
      <c r="A1" s="101" t="s">
        <v>84</v>
      </c>
      <c r="B1" s="101"/>
      <c r="I1" s="101" t="s">
        <v>84</v>
      </c>
      <c r="J1" s="101"/>
      <c r="Q1" s="101" t="s">
        <v>84</v>
      </c>
      <c r="R1" s="101"/>
      <c r="Y1" s="101" t="s">
        <v>84</v>
      </c>
      <c r="Z1" s="101"/>
      <c r="AG1" s="101" t="s">
        <v>84</v>
      </c>
      <c r="AH1" s="101"/>
    </row>
    <row r="2" spans="1:39" x14ac:dyDescent="0.45">
      <c r="A2" s="17" t="s">
        <v>1</v>
      </c>
      <c r="B2" s="18"/>
      <c r="I2" s="17" t="s">
        <v>1</v>
      </c>
      <c r="J2" s="18"/>
      <c r="Q2" s="17" t="s">
        <v>1</v>
      </c>
      <c r="R2" s="18"/>
      <c r="Y2" s="17" t="s">
        <v>1</v>
      </c>
      <c r="Z2" s="18"/>
      <c r="AG2" s="17" t="s">
        <v>1</v>
      </c>
      <c r="AH2" s="18"/>
    </row>
    <row r="3" spans="1:39" x14ac:dyDescent="0.45">
      <c r="A3" s="102" t="s">
        <v>2</v>
      </c>
      <c r="B3" s="102"/>
      <c r="C3" s="102"/>
      <c r="D3" s="102"/>
      <c r="E3" s="19"/>
      <c r="I3" s="102" t="s">
        <v>2</v>
      </c>
      <c r="J3" s="102"/>
      <c r="K3" s="102"/>
      <c r="L3" s="102"/>
      <c r="Q3" s="102" t="s">
        <v>2</v>
      </c>
      <c r="R3" s="102"/>
      <c r="S3" s="102"/>
      <c r="T3" s="102"/>
      <c r="Y3" s="102" t="s">
        <v>2</v>
      </c>
      <c r="Z3" s="102"/>
      <c r="AA3" s="102"/>
      <c r="AB3" s="102"/>
      <c r="AC3" s="102"/>
      <c r="AG3" s="102" t="s">
        <v>2</v>
      </c>
      <c r="AH3" s="102"/>
      <c r="AI3" s="102"/>
      <c r="AJ3" s="102"/>
      <c r="AK3" s="102"/>
    </row>
    <row r="4" spans="1:39" x14ac:dyDescent="0.45">
      <c r="B4" s="17"/>
    </row>
    <row r="5" spans="1:39" ht="25.15" customHeight="1" thickBot="1" x14ac:dyDescent="0.5">
      <c r="B5" s="17"/>
      <c r="F5" s="96" t="s">
        <v>3</v>
      </c>
      <c r="G5" s="96"/>
      <c r="J5" s="17"/>
      <c r="M5" s="56">
        <v>1.1000000000000001</v>
      </c>
      <c r="N5" s="96" t="s">
        <v>4</v>
      </c>
      <c r="O5" s="96"/>
      <c r="R5" s="17"/>
      <c r="U5" s="56">
        <v>1.1000000000000001</v>
      </c>
      <c r="V5" s="96" t="s">
        <v>5</v>
      </c>
      <c r="W5" s="96"/>
      <c r="Z5" s="17"/>
      <c r="AC5" s="56">
        <v>1.1499999999999999</v>
      </c>
      <c r="AD5" s="96" t="s">
        <v>6</v>
      </c>
      <c r="AE5" s="96"/>
      <c r="AH5" s="17"/>
      <c r="AK5" s="56">
        <v>1.1499999999999999</v>
      </c>
      <c r="AL5" s="96" t="s">
        <v>7</v>
      </c>
      <c r="AM5" s="96"/>
    </row>
    <row r="6" spans="1:39" s="25" customFormat="1" ht="13.5" thickBot="1" x14ac:dyDescent="0.5">
      <c r="A6" s="20" t="s">
        <v>8</v>
      </c>
      <c r="B6" s="21" t="s">
        <v>9</v>
      </c>
      <c r="C6" s="97" t="s">
        <v>10</v>
      </c>
      <c r="D6" s="98"/>
      <c r="E6" s="22" t="s">
        <v>11</v>
      </c>
      <c r="F6" s="23" t="s">
        <v>12</v>
      </c>
      <c r="G6" s="24" t="s">
        <v>13</v>
      </c>
      <c r="I6" s="20" t="s">
        <v>8</v>
      </c>
      <c r="J6" s="21" t="s">
        <v>9</v>
      </c>
      <c r="K6" s="97" t="s">
        <v>10</v>
      </c>
      <c r="L6" s="98"/>
      <c r="M6" s="22" t="s">
        <v>11</v>
      </c>
      <c r="N6" s="23" t="s">
        <v>12</v>
      </c>
      <c r="O6" s="24" t="s">
        <v>13</v>
      </c>
      <c r="Q6" s="20" t="s">
        <v>8</v>
      </c>
      <c r="R6" s="21" t="s">
        <v>9</v>
      </c>
      <c r="S6" s="97" t="s">
        <v>10</v>
      </c>
      <c r="T6" s="98"/>
      <c r="U6" s="22" t="s">
        <v>11</v>
      </c>
      <c r="V6" s="23" t="s">
        <v>12</v>
      </c>
      <c r="W6" s="24" t="s">
        <v>13</v>
      </c>
      <c r="Y6" s="20" t="s">
        <v>8</v>
      </c>
      <c r="Z6" s="21" t="s">
        <v>9</v>
      </c>
      <c r="AA6" s="97" t="s">
        <v>10</v>
      </c>
      <c r="AB6" s="98"/>
      <c r="AC6" s="22" t="s">
        <v>11</v>
      </c>
      <c r="AD6" s="23" t="s">
        <v>12</v>
      </c>
      <c r="AE6" s="24" t="s">
        <v>13</v>
      </c>
      <c r="AG6" s="20" t="s">
        <v>8</v>
      </c>
      <c r="AH6" s="21" t="s">
        <v>9</v>
      </c>
      <c r="AI6" s="97" t="s">
        <v>10</v>
      </c>
      <c r="AJ6" s="98"/>
      <c r="AK6" s="22" t="s">
        <v>11</v>
      </c>
      <c r="AL6" s="23" t="s">
        <v>12</v>
      </c>
      <c r="AM6" s="24" t="s">
        <v>13</v>
      </c>
    </row>
    <row r="7" spans="1:39" x14ac:dyDescent="0.45">
      <c r="A7" s="99"/>
      <c r="B7" s="100"/>
      <c r="C7" s="100"/>
      <c r="D7" s="100"/>
      <c r="E7" s="26"/>
      <c r="I7" s="99"/>
      <c r="J7" s="100"/>
      <c r="K7" s="100"/>
      <c r="L7" s="100"/>
      <c r="M7" s="26"/>
      <c r="Q7" s="99"/>
      <c r="R7" s="100"/>
      <c r="S7" s="100"/>
      <c r="T7" s="100"/>
      <c r="U7" s="26"/>
      <c r="Y7" s="99"/>
      <c r="Z7" s="100"/>
      <c r="AA7" s="100"/>
      <c r="AB7" s="100"/>
      <c r="AC7" s="26"/>
      <c r="AG7" s="99"/>
      <c r="AH7" s="100"/>
      <c r="AI7" s="100"/>
      <c r="AJ7" s="100"/>
      <c r="AK7" s="26"/>
    </row>
    <row r="8" spans="1:39" x14ac:dyDescent="0.45">
      <c r="A8" s="27" t="s">
        <v>14</v>
      </c>
      <c r="B8" s="28" t="s">
        <v>15</v>
      </c>
      <c r="C8" s="28">
        <v>1</v>
      </c>
      <c r="D8" s="28" t="s">
        <v>16</v>
      </c>
      <c r="E8" s="28"/>
      <c r="F8" s="29"/>
      <c r="G8" s="29">
        <f>SUM(G9:G11)</f>
        <v>9000000</v>
      </c>
      <c r="I8" s="27" t="s">
        <v>14</v>
      </c>
      <c r="J8" s="28" t="s">
        <v>15</v>
      </c>
      <c r="K8" s="28">
        <v>1</v>
      </c>
      <c r="L8" s="28" t="s">
        <v>16</v>
      </c>
      <c r="M8" s="28"/>
      <c r="N8" s="29"/>
      <c r="O8" s="29">
        <f>SUM(O9:O11)</f>
        <v>9500000</v>
      </c>
      <c r="Q8" s="27" t="s">
        <v>14</v>
      </c>
      <c r="R8" s="28" t="s">
        <v>15</v>
      </c>
      <c r="S8" s="28">
        <v>1</v>
      </c>
      <c r="T8" s="28" t="s">
        <v>16</v>
      </c>
      <c r="U8" s="28"/>
      <c r="V8" s="29"/>
      <c r="W8" s="29">
        <f>SUM(W9:W11)</f>
        <v>9500000</v>
      </c>
      <c r="Y8" s="27" t="s">
        <v>14</v>
      </c>
      <c r="Z8" s="28" t="s">
        <v>15</v>
      </c>
      <c r="AA8" s="28">
        <v>1</v>
      </c>
      <c r="AB8" s="28" t="s">
        <v>16</v>
      </c>
      <c r="AC8" s="28"/>
      <c r="AD8" s="29"/>
      <c r="AE8" s="29">
        <f>SUM(AE9:AE11)</f>
        <v>9500000</v>
      </c>
      <c r="AG8" s="27" t="s">
        <v>14</v>
      </c>
      <c r="AH8" s="28" t="s">
        <v>15</v>
      </c>
      <c r="AI8" s="28">
        <v>1</v>
      </c>
      <c r="AJ8" s="28" t="s">
        <v>16</v>
      </c>
      <c r="AK8" s="28"/>
      <c r="AL8" s="29"/>
      <c r="AM8" s="29">
        <f>SUM(AM9:AM11)</f>
        <v>10000000</v>
      </c>
    </row>
    <row r="9" spans="1:39" x14ac:dyDescent="0.45">
      <c r="A9" s="4">
        <v>1</v>
      </c>
      <c r="B9" s="30" t="s">
        <v>17</v>
      </c>
      <c r="C9" s="30">
        <v>33000</v>
      </c>
      <c r="D9" s="30" t="s">
        <v>18</v>
      </c>
      <c r="E9" s="30"/>
      <c r="F9" s="31">
        <v>86</v>
      </c>
      <c r="G9" s="31">
        <f>C9*F9</f>
        <v>2838000</v>
      </c>
      <c r="I9" s="4">
        <v>1</v>
      </c>
      <c r="J9" s="30" t="s">
        <v>17</v>
      </c>
      <c r="K9" s="30">
        <v>33000</v>
      </c>
      <c r="L9" s="30" t="s">
        <v>18</v>
      </c>
      <c r="M9" s="30"/>
      <c r="N9" s="31">
        <v>86</v>
      </c>
      <c r="O9" s="31">
        <f>K9*N9</f>
        <v>2838000</v>
      </c>
      <c r="Q9" s="4">
        <v>1</v>
      </c>
      <c r="R9" s="30" t="s">
        <v>17</v>
      </c>
      <c r="S9" s="30">
        <v>33000</v>
      </c>
      <c r="T9" s="30" t="s">
        <v>18</v>
      </c>
      <c r="U9" s="30"/>
      <c r="V9" s="31">
        <v>86</v>
      </c>
      <c r="W9" s="31">
        <f>S9*V9</f>
        <v>2838000</v>
      </c>
      <c r="Y9" s="4">
        <v>1</v>
      </c>
      <c r="Z9" s="30" t="s">
        <v>17</v>
      </c>
      <c r="AA9" s="30">
        <v>33000</v>
      </c>
      <c r="AB9" s="30" t="s">
        <v>18</v>
      </c>
      <c r="AC9" s="30"/>
      <c r="AD9" s="31">
        <v>86</v>
      </c>
      <c r="AE9" s="31">
        <f>AA9*AD9</f>
        <v>2838000</v>
      </c>
      <c r="AG9" s="4">
        <v>1</v>
      </c>
      <c r="AH9" s="30" t="s">
        <v>17</v>
      </c>
      <c r="AI9" s="30">
        <v>33000</v>
      </c>
      <c r="AJ9" s="30" t="s">
        <v>18</v>
      </c>
      <c r="AK9" s="30"/>
      <c r="AL9" s="31">
        <v>86</v>
      </c>
      <c r="AM9" s="31">
        <f>AI9*AL9</f>
        <v>2838000</v>
      </c>
    </row>
    <row r="10" spans="1:39" x14ac:dyDescent="0.45">
      <c r="A10" s="4">
        <v>2</v>
      </c>
      <c r="B10" s="30" t="s">
        <v>19</v>
      </c>
      <c r="C10" s="30">
        <v>33000</v>
      </c>
      <c r="D10" s="30" t="s">
        <v>18</v>
      </c>
      <c r="E10" s="30"/>
      <c r="F10" s="31">
        <v>86</v>
      </c>
      <c r="G10" s="31">
        <f>C10*F10</f>
        <v>2838000</v>
      </c>
      <c r="I10" s="4">
        <v>2</v>
      </c>
      <c r="J10" s="30" t="s">
        <v>19</v>
      </c>
      <c r="K10" s="30">
        <v>33000</v>
      </c>
      <c r="L10" s="30" t="s">
        <v>18</v>
      </c>
      <c r="M10" s="30"/>
      <c r="N10" s="31">
        <v>86</v>
      </c>
      <c r="O10" s="31">
        <f>K10*N10</f>
        <v>2838000</v>
      </c>
      <c r="Q10" s="4">
        <v>2</v>
      </c>
      <c r="R10" s="30" t="s">
        <v>19</v>
      </c>
      <c r="S10" s="30">
        <v>33000</v>
      </c>
      <c r="T10" s="30" t="s">
        <v>18</v>
      </c>
      <c r="U10" s="30"/>
      <c r="V10" s="31">
        <v>86</v>
      </c>
      <c r="W10" s="31">
        <f>S10*V10</f>
        <v>2838000</v>
      </c>
      <c r="Y10" s="4">
        <v>2</v>
      </c>
      <c r="Z10" s="30" t="s">
        <v>19</v>
      </c>
      <c r="AA10" s="30">
        <v>33000</v>
      </c>
      <c r="AB10" s="30" t="s">
        <v>18</v>
      </c>
      <c r="AC10" s="30"/>
      <c r="AD10" s="31">
        <v>86</v>
      </c>
      <c r="AE10" s="31">
        <f>AA10*AD10</f>
        <v>2838000</v>
      </c>
      <c r="AG10" s="4">
        <v>2</v>
      </c>
      <c r="AH10" s="30" t="s">
        <v>19</v>
      </c>
      <c r="AI10" s="30">
        <v>33000</v>
      </c>
      <c r="AJ10" s="30" t="s">
        <v>18</v>
      </c>
      <c r="AK10" s="30"/>
      <c r="AL10" s="31">
        <v>86</v>
      </c>
      <c r="AM10" s="31">
        <f>AI10*AL10</f>
        <v>2838000</v>
      </c>
    </row>
    <row r="11" spans="1:39" x14ac:dyDescent="0.45">
      <c r="A11" s="4">
        <v>3</v>
      </c>
      <c r="B11" s="30" t="s">
        <v>20</v>
      </c>
      <c r="C11" s="30">
        <v>1</v>
      </c>
      <c r="D11" s="30" t="s">
        <v>16</v>
      </c>
      <c r="E11" s="30"/>
      <c r="F11" s="31">
        <v>3324000</v>
      </c>
      <c r="G11" s="31">
        <f>C11*F11</f>
        <v>3324000</v>
      </c>
      <c r="I11" s="4">
        <v>3</v>
      </c>
      <c r="J11" s="30" t="s">
        <v>20</v>
      </c>
      <c r="K11" s="30">
        <v>1</v>
      </c>
      <c r="L11" s="30" t="s">
        <v>16</v>
      </c>
      <c r="M11" s="30"/>
      <c r="N11" s="36">
        <v>3824000</v>
      </c>
      <c r="O11" s="31">
        <f>K11*N11</f>
        <v>3824000</v>
      </c>
      <c r="Q11" s="4">
        <v>3</v>
      </c>
      <c r="R11" s="30" t="s">
        <v>20</v>
      </c>
      <c r="S11" s="30">
        <v>1</v>
      </c>
      <c r="T11" s="30" t="s">
        <v>16</v>
      </c>
      <c r="U11" s="30"/>
      <c r="V11" s="36">
        <v>3824000</v>
      </c>
      <c r="W11" s="31">
        <f>S11*V11</f>
        <v>3824000</v>
      </c>
      <c r="Y11" s="4">
        <v>3</v>
      </c>
      <c r="Z11" s="30" t="s">
        <v>20</v>
      </c>
      <c r="AA11" s="30">
        <v>1</v>
      </c>
      <c r="AB11" s="30" t="s">
        <v>16</v>
      </c>
      <c r="AC11" s="30"/>
      <c r="AD11" s="36">
        <v>3824000</v>
      </c>
      <c r="AE11" s="31">
        <f>AA11*AD11</f>
        <v>3824000</v>
      </c>
      <c r="AG11" s="4">
        <v>3</v>
      </c>
      <c r="AH11" s="30" t="s">
        <v>20</v>
      </c>
      <c r="AI11" s="30">
        <v>1</v>
      </c>
      <c r="AJ11" s="30" t="s">
        <v>16</v>
      </c>
      <c r="AK11" s="30"/>
      <c r="AL11" s="36">
        <v>4324000</v>
      </c>
      <c r="AM11" s="31">
        <f>AI11*AL11</f>
        <v>4324000</v>
      </c>
    </row>
    <row r="12" spans="1:39" x14ac:dyDescent="0.45">
      <c r="A12" s="4"/>
      <c r="B12" s="30"/>
      <c r="C12" s="30"/>
      <c r="D12" s="30"/>
      <c r="E12" s="30"/>
      <c r="F12" s="31"/>
      <c r="G12" s="31"/>
      <c r="I12" s="4"/>
      <c r="J12" s="30"/>
      <c r="K12" s="30"/>
      <c r="L12" s="30"/>
      <c r="M12" s="30"/>
      <c r="N12" s="31"/>
      <c r="O12" s="31"/>
      <c r="Q12" s="4"/>
      <c r="R12" s="30"/>
      <c r="S12" s="30"/>
      <c r="T12" s="30"/>
      <c r="U12" s="30"/>
      <c r="V12" s="31"/>
      <c r="W12" s="31"/>
      <c r="Y12" s="4"/>
      <c r="Z12" s="30"/>
      <c r="AA12" s="30"/>
      <c r="AB12" s="30"/>
      <c r="AC12" s="30"/>
      <c r="AD12" s="31"/>
      <c r="AE12" s="31"/>
      <c r="AG12" s="4"/>
      <c r="AH12" s="30"/>
      <c r="AI12" s="30"/>
      <c r="AJ12" s="30"/>
      <c r="AK12" s="30"/>
      <c r="AL12" s="31"/>
      <c r="AM12" s="31"/>
    </row>
    <row r="13" spans="1:39" x14ac:dyDescent="0.45">
      <c r="A13" s="27" t="s">
        <v>21</v>
      </c>
      <c r="B13" s="28" t="s">
        <v>22</v>
      </c>
      <c r="C13" s="32">
        <v>1</v>
      </c>
      <c r="D13" s="32" t="s">
        <v>23</v>
      </c>
      <c r="E13" s="32"/>
      <c r="F13" s="33"/>
      <c r="G13" s="29">
        <f>SUM(G14:G18)</f>
        <v>13600000</v>
      </c>
      <c r="I13" s="27" t="s">
        <v>21</v>
      </c>
      <c r="J13" s="28" t="s">
        <v>22</v>
      </c>
      <c r="K13" s="32">
        <v>1</v>
      </c>
      <c r="L13" s="32" t="s">
        <v>23</v>
      </c>
      <c r="M13" s="32"/>
      <c r="N13" s="33"/>
      <c r="O13" s="29">
        <f>SUM(O14:O18)</f>
        <v>14960000.000000002</v>
      </c>
      <c r="Q13" s="27" t="s">
        <v>21</v>
      </c>
      <c r="R13" s="28" t="s">
        <v>22</v>
      </c>
      <c r="S13" s="32">
        <v>1</v>
      </c>
      <c r="T13" s="32" t="s">
        <v>23</v>
      </c>
      <c r="U13" s="32"/>
      <c r="V13" s="33"/>
      <c r="W13" s="29">
        <f>SUM(W14:W18)</f>
        <v>14960000.000000002</v>
      </c>
      <c r="Y13" s="27" t="s">
        <v>21</v>
      </c>
      <c r="Z13" s="28" t="s">
        <v>22</v>
      </c>
      <c r="AA13" s="32">
        <v>1</v>
      </c>
      <c r="AB13" s="32" t="s">
        <v>23</v>
      </c>
      <c r="AC13" s="32"/>
      <c r="AD13" s="33"/>
      <c r="AE13" s="29">
        <f>SUM(AE14:AE18)</f>
        <v>15639999.999999998</v>
      </c>
      <c r="AG13" s="27" t="s">
        <v>21</v>
      </c>
      <c r="AH13" s="28" t="s">
        <v>22</v>
      </c>
      <c r="AI13" s="32">
        <v>1</v>
      </c>
      <c r="AJ13" s="32" t="s">
        <v>23</v>
      </c>
      <c r="AK13" s="32"/>
      <c r="AL13" s="33"/>
      <c r="AM13" s="29">
        <f>SUM(AM14:AM18)</f>
        <v>15639999.999999998</v>
      </c>
    </row>
    <row r="14" spans="1:39" ht="26.25" x14ac:dyDescent="0.45">
      <c r="A14" s="4">
        <v>1</v>
      </c>
      <c r="B14" s="34" t="s">
        <v>85</v>
      </c>
      <c r="C14" s="35">
        <v>1</v>
      </c>
      <c r="D14" s="35" t="s">
        <v>23</v>
      </c>
      <c r="E14" s="35" t="s">
        <v>25</v>
      </c>
      <c r="F14" s="36">
        <v>5250000</v>
      </c>
      <c r="G14" s="31">
        <f>C14*F14</f>
        <v>5250000</v>
      </c>
      <c r="I14" s="4">
        <v>1</v>
      </c>
      <c r="J14" s="34" t="s">
        <v>85</v>
      </c>
      <c r="K14" s="35">
        <v>1</v>
      </c>
      <c r="L14" s="35" t="s">
        <v>23</v>
      </c>
      <c r="M14" s="35" t="s">
        <v>25</v>
      </c>
      <c r="N14" s="36">
        <f>F14*$M$5</f>
        <v>5775000.0000000009</v>
      </c>
      <c r="O14" s="31">
        <f>K14*N14</f>
        <v>5775000.0000000009</v>
      </c>
      <c r="Q14" s="4">
        <v>1</v>
      </c>
      <c r="R14" s="34" t="s">
        <v>85</v>
      </c>
      <c r="S14" s="35">
        <v>1</v>
      </c>
      <c r="T14" s="35" t="s">
        <v>23</v>
      </c>
      <c r="U14" s="35" t="s">
        <v>25</v>
      </c>
      <c r="V14" s="36">
        <f>F14*$U$5</f>
        <v>5775000.0000000009</v>
      </c>
      <c r="W14" s="31">
        <f>S14*V14</f>
        <v>5775000.0000000009</v>
      </c>
      <c r="Y14" s="4">
        <v>1</v>
      </c>
      <c r="Z14" s="34" t="s">
        <v>85</v>
      </c>
      <c r="AA14" s="35">
        <v>1</v>
      </c>
      <c r="AB14" s="35" t="s">
        <v>23</v>
      </c>
      <c r="AC14" s="35" t="s">
        <v>25</v>
      </c>
      <c r="AD14" s="36">
        <f>F14*$AC$5</f>
        <v>6037499.9999999991</v>
      </c>
      <c r="AE14" s="31">
        <f>AA14*AD14</f>
        <v>6037499.9999999991</v>
      </c>
      <c r="AG14" s="4">
        <v>1</v>
      </c>
      <c r="AH14" s="34" t="s">
        <v>85</v>
      </c>
      <c r="AI14" s="35">
        <v>1</v>
      </c>
      <c r="AJ14" s="35" t="s">
        <v>23</v>
      </c>
      <c r="AK14" s="35" t="s">
        <v>25</v>
      </c>
      <c r="AL14" s="36">
        <f>F14*$AK$5</f>
        <v>6037499.9999999991</v>
      </c>
      <c r="AM14" s="31">
        <f>AI14*AL14</f>
        <v>6037499.9999999991</v>
      </c>
    </row>
    <row r="15" spans="1:39" x14ac:dyDescent="0.45">
      <c r="A15" s="4">
        <v>2</v>
      </c>
      <c r="B15" s="30" t="s">
        <v>26</v>
      </c>
      <c r="C15" s="35">
        <v>1</v>
      </c>
      <c r="D15" s="35" t="s">
        <v>23</v>
      </c>
      <c r="E15" s="35" t="s">
        <v>25</v>
      </c>
      <c r="F15" s="31">
        <v>1000000</v>
      </c>
      <c r="G15" s="31">
        <f>C15*F15</f>
        <v>1000000</v>
      </c>
      <c r="I15" s="4">
        <v>2</v>
      </c>
      <c r="J15" s="30" t="s">
        <v>26</v>
      </c>
      <c r="K15" s="35">
        <v>1</v>
      </c>
      <c r="L15" s="35" t="s">
        <v>23</v>
      </c>
      <c r="M15" s="35" t="s">
        <v>25</v>
      </c>
      <c r="N15" s="36">
        <f>F15*$M$5</f>
        <v>1100000</v>
      </c>
      <c r="O15" s="31">
        <f>K15*N15</f>
        <v>1100000</v>
      </c>
      <c r="Q15" s="4">
        <v>2</v>
      </c>
      <c r="R15" s="30" t="s">
        <v>26</v>
      </c>
      <c r="S15" s="35">
        <v>1</v>
      </c>
      <c r="T15" s="35" t="s">
        <v>23</v>
      </c>
      <c r="U15" s="35" t="s">
        <v>25</v>
      </c>
      <c r="V15" s="36">
        <f>F15*$U$5</f>
        <v>1100000</v>
      </c>
      <c r="W15" s="31">
        <f>S15*V15</f>
        <v>1100000</v>
      </c>
      <c r="Y15" s="4">
        <v>2</v>
      </c>
      <c r="Z15" s="30" t="s">
        <v>26</v>
      </c>
      <c r="AA15" s="35">
        <v>1</v>
      </c>
      <c r="AB15" s="35" t="s">
        <v>23</v>
      </c>
      <c r="AC15" s="35" t="s">
        <v>25</v>
      </c>
      <c r="AD15" s="36">
        <f>F15*$AC$5</f>
        <v>1150000</v>
      </c>
      <c r="AE15" s="31">
        <f>AA15*AD15</f>
        <v>1150000</v>
      </c>
      <c r="AG15" s="4">
        <v>2</v>
      </c>
      <c r="AH15" s="30" t="s">
        <v>26</v>
      </c>
      <c r="AI15" s="35">
        <v>1</v>
      </c>
      <c r="AJ15" s="35" t="s">
        <v>23</v>
      </c>
      <c r="AK15" s="35" t="s">
        <v>25</v>
      </c>
      <c r="AL15" s="36">
        <f>F15*$AK$5</f>
        <v>1150000</v>
      </c>
      <c r="AM15" s="31">
        <f>AI15*AL15</f>
        <v>1150000</v>
      </c>
    </row>
    <row r="16" spans="1:39" x14ac:dyDescent="0.45">
      <c r="A16" s="4">
        <v>3</v>
      </c>
      <c r="B16" s="35" t="s">
        <v>86</v>
      </c>
      <c r="C16" s="35">
        <v>1</v>
      </c>
      <c r="D16" s="35" t="s">
        <v>23</v>
      </c>
      <c r="E16" s="35" t="s">
        <v>25</v>
      </c>
      <c r="F16" s="36">
        <v>5250000</v>
      </c>
      <c r="G16" s="31">
        <f>C16*F16</f>
        <v>5250000</v>
      </c>
      <c r="I16" s="4">
        <v>3</v>
      </c>
      <c r="J16" s="35" t="s">
        <v>86</v>
      </c>
      <c r="K16" s="35">
        <v>1</v>
      </c>
      <c r="L16" s="35" t="s">
        <v>23</v>
      </c>
      <c r="M16" s="35" t="s">
        <v>25</v>
      </c>
      <c r="N16" s="36">
        <f>F16*$M$5</f>
        <v>5775000.0000000009</v>
      </c>
      <c r="O16" s="31">
        <f>K16*N16</f>
        <v>5775000.0000000009</v>
      </c>
      <c r="Q16" s="4">
        <v>3</v>
      </c>
      <c r="R16" s="35" t="s">
        <v>86</v>
      </c>
      <c r="S16" s="35">
        <v>1</v>
      </c>
      <c r="T16" s="35" t="s">
        <v>23</v>
      </c>
      <c r="U16" s="35" t="s">
        <v>25</v>
      </c>
      <c r="V16" s="36">
        <f>F16*$U$5</f>
        <v>5775000.0000000009</v>
      </c>
      <c r="W16" s="31">
        <f>S16*V16</f>
        <v>5775000.0000000009</v>
      </c>
      <c r="Y16" s="4">
        <v>3</v>
      </c>
      <c r="Z16" s="35" t="s">
        <v>86</v>
      </c>
      <c r="AA16" s="35">
        <v>1</v>
      </c>
      <c r="AB16" s="35" t="s">
        <v>23</v>
      </c>
      <c r="AC16" s="35" t="s">
        <v>25</v>
      </c>
      <c r="AD16" s="36">
        <f>F16*$AC$5</f>
        <v>6037499.9999999991</v>
      </c>
      <c r="AE16" s="31">
        <f>AA16*AD16</f>
        <v>6037499.9999999991</v>
      </c>
      <c r="AG16" s="4">
        <v>3</v>
      </c>
      <c r="AH16" s="35" t="s">
        <v>86</v>
      </c>
      <c r="AI16" s="35">
        <v>1</v>
      </c>
      <c r="AJ16" s="35" t="s">
        <v>23</v>
      </c>
      <c r="AK16" s="35" t="s">
        <v>25</v>
      </c>
      <c r="AL16" s="36">
        <f>F16*$AK$5</f>
        <v>6037499.9999999991</v>
      </c>
      <c r="AM16" s="31">
        <f>AI16*AL16</f>
        <v>6037499.9999999991</v>
      </c>
    </row>
    <row r="17" spans="1:39" x14ac:dyDescent="0.45">
      <c r="A17" s="4">
        <v>4</v>
      </c>
      <c r="B17" s="35" t="s">
        <v>28</v>
      </c>
      <c r="C17" s="35">
        <v>1</v>
      </c>
      <c r="D17" s="35" t="s">
        <v>23</v>
      </c>
      <c r="E17" s="35" t="s">
        <v>25</v>
      </c>
      <c r="F17" s="36">
        <v>1500000</v>
      </c>
      <c r="G17" s="31">
        <f t="shared" ref="G17:G18" si="0">C17*F17</f>
        <v>1500000</v>
      </c>
      <c r="I17" s="4">
        <v>4</v>
      </c>
      <c r="J17" s="35" t="s">
        <v>28</v>
      </c>
      <c r="K17" s="35">
        <v>1</v>
      </c>
      <c r="L17" s="35" t="s">
        <v>23</v>
      </c>
      <c r="M17" s="35" t="s">
        <v>25</v>
      </c>
      <c r="N17" s="36">
        <f>F17*$M$5</f>
        <v>1650000.0000000002</v>
      </c>
      <c r="O17" s="31">
        <f t="shared" ref="O17:O18" si="1">K17*N17</f>
        <v>1650000.0000000002</v>
      </c>
      <c r="Q17" s="4">
        <v>4</v>
      </c>
      <c r="R17" s="35" t="s">
        <v>28</v>
      </c>
      <c r="S17" s="35">
        <v>1</v>
      </c>
      <c r="T17" s="35" t="s">
        <v>23</v>
      </c>
      <c r="U17" s="35" t="s">
        <v>25</v>
      </c>
      <c r="V17" s="36">
        <f>F17*$U$5</f>
        <v>1650000.0000000002</v>
      </c>
      <c r="W17" s="31">
        <f t="shared" ref="W17:W18" si="2">S17*V17</f>
        <v>1650000.0000000002</v>
      </c>
      <c r="Y17" s="4">
        <v>4</v>
      </c>
      <c r="Z17" s="35" t="s">
        <v>28</v>
      </c>
      <c r="AA17" s="35">
        <v>1</v>
      </c>
      <c r="AB17" s="35" t="s">
        <v>23</v>
      </c>
      <c r="AC17" s="35" t="s">
        <v>25</v>
      </c>
      <c r="AD17" s="36">
        <f>F17*$AC$5</f>
        <v>1724999.9999999998</v>
      </c>
      <c r="AE17" s="31">
        <f t="shared" ref="AE17:AE18" si="3">AA17*AD17</f>
        <v>1724999.9999999998</v>
      </c>
      <c r="AG17" s="4">
        <v>4</v>
      </c>
      <c r="AH17" s="35" t="s">
        <v>28</v>
      </c>
      <c r="AI17" s="35">
        <v>1</v>
      </c>
      <c r="AJ17" s="35" t="s">
        <v>23</v>
      </c>
      <c r="AK17" s="35" t="s">
        <v>25</v>
      </c>
      <c r="AL17" s="36">
        <f>F17*$AK$5</f>
        <v>1724999.9999999998</v>
      </c>
      <c r="AM17" s="31">
        <f t="shared" ref="AM17:AM18" si="4">AI17*AL17</f>
        <v>1724999.9999999998</v>
      </c>
    </row>
    <row r="18" spans="1:39" x14ac:dyDescent="0.45">
      <c r="A18" s="4">
        <v>5</v>
      </c>
      <c r="B18" s="35" t="s">
        <v>30</v>
      </c>
      <c r="C18" s="35">
        <v>6</v>
      </c>
      <c r="D18" s="35" t="s">
        <v>23</v>
      </c>
      <c r="E18" s="35" t="s">
        <v>25</v>
      </c>
      <c r="F18" s="36">
        <v>100000</v>
      </c>
      <c r="G18" s="31">
        <f t="shared" si="0"/>
        <v>600000</v>
      </c>
      <c r="I18" s="4">
        <v>5</v>
      </c>
      <c r="J18" s="35" t="s">
        <v>30</v>
      </c>
      <c r="K18" s="35">
        <v>6</v>
      </c>
      <c r="L18" s="35" t="s">
        <v>23</v>
      </c>
      <c r="M18" s="35" t="s">
        <v>25</v>
      </c>
      <c r="N18" s="36">
        <f>F18*$M$5</f>
        <v>110000.00000000001</v>
      </c>
      <c r="O18" s="31">
        <f t="shared" si="1"/>
        <v>660000.00000000012</v>
      </c>
      <c r="Q18" s="4">
        <v>5</v>
      </c>
      <c r="R18" s="35" t="s">
        <v>30</v>
      </c>
      <c r="S18" s="35">
        <v>6</v>
      </c>
      <c r="T18" s="35" t="s">
        <v>23</v>
      </c>
      <c r="U18" s="35" t="s">
        <v>25</v>
      </c>
      <c r="V18" s="36">
        <f>F18*$U$5</f>
        <v>110000.00000000001</v>
      </c>
      <c r="W18" s="31">
        <f t="shared" si="2"/>
        <v>660000.00000000012</v>
      </c>
      <c r="Y18" s="4">
        <v>5</v>
      </c>
      <c r="Z18" s="35" t="s">
        <v>30</v>
      </c>
      <c r="AA18" s="35">
        <v>6</v>
      </c>
      <c r="AB18" s="35" t="s">
        <v>23</v>
      </c>
      <c r="AC18" s="35" t="s">
        <v>25</v>
      </c>
      <c r="AD18" s="36">
        <f>F18*$AC$5</f>
        <v>114999.99999999999</v>
      </c>
      <c r="AE18" s="31">
        <f t="shared" si="3"/>
        <v>689999.99999999988</v>
      </c>
      <c r="AG18" s="4">
        <v>5</v>
      </c>
      <c r="AH18" s="35" t="s">
        <v>30</v>
      </c>
      <c r="AI18" s="35">
        <v>6</v>
      </c>
      <c r="AJ18" s="35" t="s">
        <v>23</v>
      </c>
      <c r="AK18" s="35" t="s">
        <v>25</v>
      </c>
      <c r="AL18" s="36">
        <f>F18*$AK$5</f>
        <v>114999.99999999999</v>
      </c>
      <c r="AM18" s="31">
        <f t="shared" si="4"/>
        <v>689999.99999999988</v>
      </c>
    </row>
    <row r="19" spans="1:39" x14ac:dyDescent="0.45">
      <c r="A19" s="4"/>
      <c r="B19" s="30"/>
      <c r="C19" s="35"/>
      <c r="D19" s="35"/>
      <c r="E19" s="35"/>
      <c r="F19" s="31"/>
      <c r="G19" s="31"/>
      <c r="I19" s="4"/>
      <c r="J19" s="30"/>
      <c r="K19" s="35"/>
      <c r="L19" s="35"/>
      <c r="M19" s="35"/>
      <c r="N19" s="31"/>
      <c r="O19" s="31"/>
      <c r="Q19" s="4"/>
      <c r="R19" s="30"/>
      <c r="S19" s="35"/>
      <c r="T19" s="35"/>
      <c r="U19" s="35"/>
      <c r="V19" s="31"/>
      <c r="W19" s="31"/>
      <c r="Y19" s="4"/>
      <c r="Z19" s="30"/>
      <c r="AA19" s="35"/>
      <c r="AB19" s="35"/>
      <c r="AC19" s="35"/>
      <c r="AD19" s="31"/>
      <c r="AE19" s="31"/>
      <c r="AG19" s="4"/>
      <c r="AH19" s="30"/>
      <c r="AI19" s="35"/>
      <c r="AJ19" s="35"/>
      <c r="AK19" s="35"/>
      <c r="AL19" s="31"/>
      <c r="AM19" s="31"/>
    </row>
    <row r="20" spans="1:39" x14ac:dyDescent="0.45">
      <c r="A20" s="27" t="s">
        <v>31</v>
      </c>
      <c r="B20" s="28" t="s">
        <v>32</v>
      </c>
      <c r="C20" s="32"/>
      <c r="D20" s="32"/>
      <c r="E20" s="32"/>
      <c r="F20" s="33"/>
      <c r="G20" s="29">
        <f>SUM(G21:G24)</f>
        <v>4700000</v>
      </c>
      <c r="I20" s="27" t="s">
        <v>31</v>
      </c>
      <c r="J20" s="28" t="s">
        <v>32</v>
      </c>
      <c r="K20" s="32"/>
      <c r="L20" s="32"/>
      <c r="M20" s="32"/>
      <c r="N20" s="33"/>
      <c r="O20" s="29">
        <f>SUM(O21:O24)</f>
        <v>5170000</v>
      </c>
      <c r="Q20" s="27" t="s">
        <v>31</v>
      </c>
      <c r="R20" s="28" t="s">
        <v>32</v>
      </c>
      <c r="S20" s="32"/>
      <c r="T20" s="32"/>
      <c r="U20" s="32"/>
      <c r="V20" s="33"/>
      <c r="W20" s="29">
        <f>SUM(W21:W24)</f>
        <v>5170000</v>
      </c>
      <c r="Y20" s="27" t="s">
        <v>31</v>
      </c>
      <c r="Z20" s="28" t="s">
        <v>32</v>
      </c>
      <c r="AA20" s="32"/>
      <c r="AB20" s="32"/>
      <c r="AC20" s="32"/>
      <c r="AD20" s="33"/>
      <c r="AE20" s="29">
        <f>SUM(AE21:AE24)</f>
        <v>5405000</v>
      </c>
      <c r="AG20" s="27" t="s">
        <v>31</v>
      </c>
      <c r="AH20" s="28" t="s">
        <v>32</v>
      </c>
      <c r="AI20" s="32"/>
      <c r="AJ20" s="32"/>
      <c r="AK20" s="32"/>
      <c r="AL20" s="33"/>
      <c r="AM20" s="29">
        <f>SUM(AM21:AM24)</f>
        <v>5405000</v>
      </c>
    </row>
    <row r="21" spans="1:39" x14ac:dyDescent="0.45">
      <c r="A21" s="4">
        <v>1</v>
      </c>
      <c r="B21" s="35" t="s">
        <v>33</v>
      </c>
      <c r="C21" s="35">
        <v>1</v>
      </c>
      <c r="D21" s="35" t="s">
        <v>23</v>
      </c>
      <c r="E21" s="35" t="s">
        <v>25</v>
      </c>
      <c r="F21" s="36">
        <v>2000000</v>
      </c>
      <c r="G21" s="31">
        <f>C21*F21</f>
        <v>2000000</v>
      </c>
      <c r="I21" s="4">
        <v>1</v>
      </c>
      <c r="J21" s="35" t="s">
        <v>33</v>
      </c>
      <c r="K21" s="35">
        <v>1</v>
      </c>
      <c r="L21" s="35" t="s">
        <v>23</v>
      </c>
      <c r="M21" s="35" t="s">
        <v>25</v>
      </c>
      <c r="N21" s="36">
        <f>F21*$M$5</f>
        <v>2200000</v>
      </c>
      <c r="O21" s="31">
        <f>K21*N21</f>
        <v>2200000</v>
      </c>
      <c r="Q21" s="4">
        <v>1</v>
      </c>
      <c r="R21" s="35" t="s">
        <v>33</v>
      </c>
      <c r="S21" s="35">
        <v>1</v>
      </c>
      <c r="T21" s="35" t="s">
        <v>23</v>
      </c>
      <c r="U21" s="35" t="s">
        <v>25</v>
      </c>
      <c r="V21" s="36">
        <f>F21*$U$5</f>
        <v>2200000</v>
      </c>
      <c r="W21" s="31">
        <f>S21*V21</f>
        <v>2200000</v>
      </c>
      <c r="Y21" s="4">
        <v>1</v>
      </c>
      <c r="Z21" s="35" t="s">
        <v>33</v>
      </c>
      <c r="AA21" s="35">
        <v>1</v>
      </c>
      <c r="AB21" s="35" t="s">
        <v>23</v>
      </c>
      <c r="AC21" s="35" t="s">
        <v>25</v>
      </c>
      <c r="AD21" s="36">
        <f>F21*$AC$5</f>
        <v>2300000</v>
      </c>
      <c r="AE21" s="31">
        <f>AA21*AD21</f>
        <v>2300000</v>
      </c>
      <c r="AG21" s="4">
        <v>1</v>
      </c>
      <c r="AH21" s="35" t="s">
        <v>33</v>
      </c>
      <c r="AI21" s="35">
        <v>1</v>
      </c>
      <c r="AJ21" s="35" t="s">
        <v>23</v>
      </c>
      <c r="AK21" s="35" t="s">
        <v>25</v>
      </c>
      <c r="AL21" s="36">
        <f>F21*$AK$5</f>
        <v>2300000</v>
      </c>
      <c r="AM21" s="31">
        <f>AI21*AL21</f>
        <v>2300000</v>
      </c>
    </row>
    <row r="22" spans="1:39" x14ac:dyDescent="0.45">
      <c r="A22" s="4">
        <v>2</v>
      </c>
      <c r="B22" s="37" t="s">
        <v>34</v>
      </c>
      <c r="C22" s="35">
        <v>2</v>
      </c>
      <c r="D22" s="35" t="s">
        <v>35</v>
      </c>
      <c r="E22" s="35" t="s">
        <v>36</v>
      </c>
      <c r="F22" s="36">
        <v>250000</v>
      </c>
      <c r="G22" s="31">
        <f>C22*F22</f>
        <v>500000</v>
      </c>
      <c r="I22" s="4">
        <v>2</v>
      </c>
      <c r="J22" s="37" t="s">
        <v>34</v>
      </c>
      <c r="K22" s="35">
        <v>2</v>
      </c>
      <c r="L22" s="35" t="s">
        <v>35</v>
      </c>
      <c r="M22" s="35" t="s">
        <v>36</v>
      </c>
      <c r="N22" s="36">
        <f>F22*$M$5</f>
        <v>275000</v>
      </c>
      <c r="O22" s="31">
        <f>K22*N22</f>
        <v>550000</v>
      </c>
      <c r="Q22" s="4">
        <v>2</v>
      </c>
      <c r="R22" s="37" t="s">
        <v>34</v>
      </c>
      <c r="S22" s="35">
        <v>2</v>
      </c>
      <c r="T22" s="35" t="s">
        <v>35</v>
      </c>
      <c r="U22" s="35" t="s">
        <v>36</v>
      </c>
      <c r="V22" s="36">
        <f>F22*$U$5</f>
        <v>275000</v>
      </c>
      <c r="W22" s="31">
        <f>S22*V22</f>
        <v>550000</v>
      </c>
      <c r="Y22" s="4">
        <v>2</v>
      </c>
      <c r="Z22" s="37" t="s">
        <v>34</v>
      </c>
      <c r="AA22" s="35">
        <v>2</v>
      </c>
      <c r="AB22" s="35" t="s">
        <v>35</v>
      </c>
      <c r="AC22" s="35" t="s">
        <v>36</v>
      </c>
      <c r="AD22" s="36">
        <f>F22*$AC$5</f>
        <v>287500</v>
      </c>
      <c r="AE22" s="31">
        <f>AA22*AD22</f>
        <v>575000</v>
      </c>
      <c r="AG22" s="4">
        <v>2</v>
      </c>
      <c r="AH22" s="37" t="s">
        <v>34</v>
      </c>
      <c r="AI22" s="35">
        <v>2</v>
      </c>
      <c r="AJ22" s="35" t="s">
        <v>35</v>
      </c>
      <c r="AK22" s="35" t="s">
        <v>36</v>
      </c>
      <c r="AL22" s="36">
        <f>F22*$AK$5</f>
        <v>287500</v>
      </c>
      <c r="AM22" s="31">
        <f>AI22*AL22</f>
        <v>575000</v>
      </c>
    </row>
    <row r="23" spans="1:39" x14ac:dyDescent="0.45">
      <c r="A23" s="4">
        <v>3</v>
      </c>
      <c r="B23" s="5" t="s">
        <v>37</v>
      </c>
      <c r="C23" s="6">
        <v>1</v>
      </c>
      <c r="D23" s="7" t="s">
        <v>38</v>
      </c>
      <c r="E23" s="9" t="s">
        <v>39</v>
      </c>
      <c r="F23" s="8">
        <v>1300000</v>
      </c>
      <c r="G23" s="31">
        <f>C23*F23</f>
        <v>1300000</v>
      </c>
      <c r="I23" s="4">
        <v>3</v>
      </c>
      <c r="J23" s="5" t="s">
        <v>37</v>
      </c>
      <c r="K23" s="6">
        <v>1</v>
      </c>
      <c r="L23" s="7" t="s">
        <v>38</v>
      </c>
      <c r="M23" s="9" t="s">
        <v>39</v>
      </c>
      <c r="N23" s="36">
        <f>F23*$M$5</f>
        <v>1430000</v>
      </c>
      <c r="O23" s="31">
        <f>K23*N23</f>
        <v>1430000</v>
      </c>
      <c r="Q23" s="4">
        <v>3</v>
      </c>
      <c r="R23" s="5" t="s">
        <v>37</v>
      </c>
      <c r="S23" s="6">
        <v>1</v>
      </c>
      <c r="T23" s="7" t="s">
        <v>38</v>
      </c>
      <c r="U23" s="9" t="s">
        <v>39</v>
      </c>
      <c r="V23" s="36">
        <f>F23*$U$5</f>
        <v>1430000</v>
      </c>
      <c r="W23" s="31">
        <f>S23*V23</f>
        <v>1430000</v>
      </c>
      <c r="Y23" s="4">
        <v>3</v>
      </c>
      <c r="Z23" s="5" t="s">
        <v>37</v>
      </c>
      <c r="AA23" s="6">
        <v>1</v>
      </c>
      <c r="AB23" s="7" t="s">
        <v>38</v>
      </c>
      <c r="AC23" s="9" t="s">
        <v>39</v>
      </c>
      <c r="AD23" s="36">
        <f>F23*$AC$5</f>
        <v>1495000</v>
      </c>
      <c r="AE23" s="31">
        <f>AA23*AD23</f>
        <v>1495000</v>
      </c>
      <c r="AG23" s="4">
        <v>3</v>
      </c>
      <c r="AH23" s="5" t="s">
        <v>37</v>
      </c>
      <c r="AI23" s="6">
        <v>1</v>
      </c>
      <c r="AJ23" s="7" t="s">
        <v>38</v>
      </c>
      <c r="AK23" s="9" t="s">
        <v>39</v>
      </c>
      <c r="AL23" s="36">
        <f>F23*$AK$5</f>
        <v>1495000</v>
      </c>
      <c r="AM23" s="31">
        <f>AI23*AL23</f>
        <v>1495000</v>
      </c>
    </row>
    <row r="24" spans="1:39" x14ac:dyDescent="0.45">
      <c r="A24" s="4">
        <v>4</v>
      </c>
      <c r="B24" s="11" t="s">
        <v>40</v>
      </c>
      <c r="C24" s="12">
        <v>1</v>
      </c>
      <c r="D24" s="13" t="s">
        <v>41</v>
      </c>
      <c r="E24" s="14" t="s">
        <v>25</v>
      </c>
      <c r="F24" s="15">
        <v>900000</v>
      </c>
      <c r="G24" s="31">
        <f>C24*F24</f>
        <v>900000</v>
      </c>
      <c r="I24" s="4">
        <v>4</v>
      </c>
      <c r="J24" s="11" t="s">
        <v>40</v>
      </c>
      <c r="K24" s="12">
        <v>1</v>
      </c>
      <c r="L24" s="13" t="s">
        <v>41</v>
      </c>
      <c r="M24" s="14" t="s">
        <v>25</v>
      </c>
      <c r="N24" s="36">
        <f>F24*$M$5</f>
        <v>990000.00000000012</v>
      </c>
      <c r="O24" s="31">
        <f>K24*N24</f>
        <v>990000.00000000012</v>
      </c>
      <c r="Q24" s="4">
        <v>4</v>
      </c>
      <c r="R24" s="11" t="s">
        <v>40</v>
      </c>
      <c r="S24" s="12">
        <v>1</v>
      </c>
      <c r="T24" s="13" t="s">
        <v>41</v>
      </c>
      <c r="U24" s="14" t="s">
        <v>25</v>
      </c>
      <c r="V24" s="36">
        <f>F24*$U$5</f>
        <v>990000.00000000012</v>
      </c>
      <c r="W24" s="31">
        <f>S24*V24</f>
        <v>990000.00000000012</v>
      </c>
      <c r="Y24" s="4">
        <v>4</v>
      </c>
      <c r="Z24" s="11" t="s">
        <v>40</v>
      </c>
      <c r="AA24" s="12">
        <v>1</v>
      </c>
      <c r="AB24" s="13" t="s">
        <v>41</v>
      </c>
      <c r="AC24" s="14" t="s">
        <v>25</v>
      </c>
      <c r="AD24" s="36">
        <f>F24*$AC$5</f>
        <v>1034999.9999999999</v>
      </c>
      <c r="AE24" s="31">
        <f>AA24*AD24</f>
        <v>1034999.9999999999</v>
      </c>
      <c r="AG24" s="4">
        <v>4</v>
      </c>
      <c r="AH24" s="11" t="s">
        <v>40</v>
      </c>
      <c r="AI24" s="12">
        <v>1</v>
      </c>
      <c r="AJ24" s="13" t="s">
        <v>41</v>
      </c>
      <c r="AK24" s="14" t="s">
        <v>25</v>
      </c>
      <c r="AL24" s="36">
        <f>F24*$AK$5</f>
        <v>1034999.9999999999</v>
      </c>
      <c r="AM24" s="31">
        <f>AI24*AL24</f>
        <v>1034999.9999999999</v>
      </c>
    </row>
    <row r="25" spans="1:39" x14ac:dyDescent="0.45">
      <c r="A25" s="4"/>
      <c r="B25" s="30"/>
      <c r="C25" s="35"/>
      <c r="D25" s="35"/>
      <c r="E25" s="35"/>
      <c r="F25" s="31"/>
      <c r="G25" s="31"/>
      <c r="I25" s="4"/>
      <c r="J25" s="30"/>
      <c r="K25" s="35"/>
      <c r="L25" s="35"/>
      <c r="M25" s="35"/>
      <c r="N25" s="31"/>
      <c r="O25" s="31"/>
      <c r="Q25" s="4"/>
      <c r="R25" s="30"/>
      <c r="S25" s="35"/>
      <c r="T25" s="35"/>
      <c r="U25" s="35"/>
      <c r="V25" s="31"/>
      <c r="W25" s="31"/>
      <c r="Y25" s="4"/>
      <c r="Z25" s="30"/>
      <c r="AA25" s="35"/>
      <c r="AB25" s="35"/>
      <c r="AC25" s="35"/>
      <c r="AD25" s="31"/>
      <c r="AE25" s="31"/>
      <c r="AG25" s="4"/>
      <c r="AH25" s="30"/>
      <c r="AI25" s="35"/>
      <c r="AJ25" s="35"/>
      <c r="AK25" s="35"/>
      <c r="AL25" s="31"/>
      <c r="AM25" s="31"/>
    </row>
    <row r="26" spans="1:39" x14ac:dyDescent="0.45">
      <c r="A26" s="27" t="s">
        <v>42</v>
      </c>
      <c r="B26" s="28" t="s">
        <v>43</v>
      </c>
      <c r="C26" s="32"/>
      <c r="D26" s="32"/>
      <c r="E26" s="32"/>
      <c r="F26" s="33"/>
      <c r="G26" s="29">
        <f>SUM(G27:G40)</f>
        <v>6505000</v>
      </c>
      <c r="I26" s="27" t="s">
        <v>42</v>
      </c>
      <c r="J26" s="28" t="s">
        <v>43</v>
      </c>
      <c r="K26" s="32"/>
      <c r="L26" s="32"/>
      <c r="M26" s="32"/>
      <c r="N26" s="33"/>
      <c r="O26" s="29">
        <f>SUM(O27:O40)</f>
        <v>7155500</v>
      </c>
      <c r="Q26" s="27" t="s">
        <v>42</v>
      </c>
      <c r="R26" s="28" t="s">
        <v>43</v>
      </c>
      <c r="S26" s="32"/>
      <c r="T26" s="32"/>
      <c r="U26" s="32"/>
      <c r="V26" s="33"/>
      <c r="W26" s="29">
        <f>SUM(W27:W40)</f>
        <v>7155500</v>
      </c>
      <c r="Y26" s="27" t="s">
        <v>42</v>
      </c>
      <c r="Z26" s="28" t="s">
        <v>43</v>
      </c>
      <c r="AA26" s="32"/>
      <c r="AB26" s="32"/>
      <c r="AC26" s="32"/>
      <c r="AD26" s="33"/>
      <c r="AE26" s="29">
        <f>SUM(AE27:AE40)</f>
        <v>7480750</v>
      </c>
      <c r="AG26" s="27" t="s">
        <v>42</v>
      </c>
      <c r="AH26" s="28" t="s">
        <v>43</v>
      </c>
      <c r="AI26" s="32"/>
      <c r="AJ26" s="32"/>
      <c r="AK26" s="32"/>
      <c r="AL26" s="33"/>
      <c r="AM26" s="29">
        <f>SUM(AM27:AM40)</f>
        <v>7480750</v>
      </c>
    </row>
    <row r="27" spans="1:39" ht="14.55" customHeight="1" x14ac:dyDescent="0.45">
      <c r="A27" s="4">
        <v>1</v>
      </c>
      <c r="B27" s="38" t="s">
        <v>44</v>
      </c>
      <c r="C27" s="1">
        <v>1</v>
      </c>
      <c r="D27" s="38" t="s">
        <v>23</v>
      </c>
      <c r="E27" s="38" t="s">
        <v>45</v>
      </c>
      <c r="F27" s="31">
        <v>1200000</v>
      </c>
      <c r="G27" s="31">
        <f t="shared" ref="G27:G40" si="5">C27*F27</f>
        <v>1200000</v>
      </c>
      <c r="I27" s="4">
        <v>1</v>
      </c>
      <c r="J27" s="38" t="s">
        <v>44</v>
      </c>
      <c r="K27" s="1">
        <v>1</v>
      </c>
      <c r="L27" s="38" t="s">
        <v>23</v>
      </c>
      <c r="M27" s="38" t="s">
        <v>45</v>
      </c>
      <c r="N27" s="36">
        <f t="shared" ref="N27:N40" si="6">F27*$M$5</f>
        <v>1320000</v>
      </c>
      <c r="O27" s="31">
        <f t="shared" ref="O27:O40" si="7">K27*N27</f>
        <v>1320000</v>
      </c>
      <c r="Q27" s="4">
        <v>1</v>
      </c>
      <c r="R27" s="38" t="s">
        <v>44</v>
      </c>
      <c r="S27" s="1">
        <v>1</v>
      </c>
      <c r="T27" s="38" t="s">
        <v>23</v>
      </c>
      <c r="U27" s="38" t="s">
        <v>45</v>
      </c>
      <c r="V27" s="36">
        <f t="shared" ref="V27:V40" si="8">F27*$U$5</f>
        <v>1320000</v>
      </c>
      <c r="W27" s="31">
        <f t="shared" ref="W27:W40" si="9">S27*V27</f>
        <v>1320000</v>
      </c>
      <c r="Y27" s="4">
        <v>1</v>
      </c>
      <c r="Z27" s="38" t="s">
        <v>44</v>
      </c>
      <c r="AA27" s="1">
        <v>1</v>
      </c>
      <c r="AB27" s="38" t="s">
        <v>23</v>
      </c>
      <c r="AC27" s="38" t="s">
        <v>45</v>
      </c>
      <c r="AD27" s="36">
        <f t="shared" ref="AD27:AD40" si="10">F27*$AC$5</f>
        <v>1380000</v>
      </c>
      <c r="AE27" s="31">
        <f t="shared" ref="AE27:AE40" si="11">AA27*AD27</f>
        <v>1380000</v>
      </c>
      <c r="AG27" s="4">
        <v>1</v>
      </c>
      <c r="AH27" s="38" t="s">
        <v>44</v>
      </c>
      <c r="AI27" s="1">
        <v>1</v>
      </c>
      <c r="AJ27" s="38" t="s">
        <v>23</v>
      </c>
      <c r="AK27" s="38" t="s">
        <v>45</v>
      </c>
      <c r="AL27" s="36">
        <f t="shared" ref="AL27:AL40" si="12">F27*$AK$5</f>
        <v>1380000</v>
      </c>
      <c r="AM27" s="31">
        <f t="shared" ref="AM27:AM40" si="13">AI27*AL27</f>
        <v>1380000</v>
      </c>
    </row>
    <row r="28" spans="1:39" s="40" customFormat="1" ht="14.55" customHeight="1" x14ac:dyDescent="0.45">
      <c r="A28" s="39">
        <v>2</v>
      </c>
      <c r="B28" s="35" t="s">
        <v>46</v>
      </c>
      <c r="C28" s="1">
        <v>3</v>
      </c>
      <c r="D28" s="38" t="s">
        <v>23</v>
      </c>
      <c r="E28" s="38" t="s">
        <v>25</v>
      </c>
      <c r="F28" s="36">
        <v>50000</v>
      </c>
      <c r="G28" s="31">
        <f t="shared" si="5"/>
        <v>150000</v>
      </c>
      <c r="I28" s="39">
        <v>2</v>
      </c>
      <c r="J28" s="35" t="s">
        <v>46</v>
      </c>
      <c r="K28" s="1">
        <v>3</v>
      </c>
      <c r="L28" s="38" t="s">
        <v>23</v>
      </c>
      <c r="M28" s="38" t="s">
        <v>25</v>
      </c>
      <c r="N28" s="36">
        <f t="shared" si="6"/>
        <v>55000.000000000007</v>
      </c>
      <c r="O28" s="31">
        <f t="shared" si="7"/>
        <v>165000.00000000003</v>
      </c>
      <c r="Q28" s="39">
        <v>2</v>
      </c>
      <c r="R28" s="35" t="s">
        <v>46</v>
      </c>
      <c r="S28" s="1">
        <v>3</v>
      </c>
      <c r="T28" s="38" t="s">
        <v>23</v>
      </c>
      <c r="U28" s="38" t="s">
        <v>25</v>
      </c>
      <c r="V28" s="36">
        <f t="shared" si="8"/>
        <v>55000.000000000007</v>
      </c>
      <c r="W28" s="31">
        <f t="shared" si="9"/>
        <v>165000.00000000003</v>
      </c>
      <c r="Y28" s="39">
        <v>2</v>
      </c>
      <c r="Z28" s="35" t="s">
        <v>46</v>
      </c>
      <c r="AA28" s="1">
        <v>3</v>
      </c>
      <c r="AB28" s="38" t="s">
        <v>23</v>
      </c>
      <c r="AC28" s="38" t="s">
        <v>25</v>
      </c>
      <c r="AD28" s="36">
        <f t="shared" si="10"/>
        <v>57499.999999999993</v>
      </c>
      <c r="AE28" s="31">
        <f t="shared" si="11"/>
        <v>172499.99999999997</v>
      </c>
      <c r="AG28" s="39">
        <v>2</v>
      </c>
      <c r="AH28" s="35" t="s">
        <v>46</v>
      </c>
      <c r="AI28" s="1">
        <v>3</v>
      </c>
      <c r="AJ28" s="38" t="s">
        <v>23</v>
      </c>
      <c r="AK28" s="38" t="s">
        <v>25</v>
      </c>
      <c r="AL28" s="36">
        <f t="shared" si="12"/>
        <v>57499.999999999993</v>
      </c>
      <c r="AM28" s="31">
        <f t="shared" si="13"/>
        <v>172499.99999999997</v>
      </c>
    </row>
    <row r="29" spans="1:39" s="3" customFormat="1" ht="14.55" customHeight="1" x14ac:dyDescent="0.45">
      <c r="A29" s="4">
        <v>3</v>
      </c>
      <c r="B29" s="2" t="s">
        <v>87</v>
      </c>
      <c r="C29" s="1">
        <v>1</v>
      </c>
      <c r="D29" s="38" t="s">
        <v>23</v>
      </c>
      <c r="E29" s="38" t="s">
        <v>48</v>
      </c>
      <c r="F29" s="36">
        <v>1250000</v>
      </c>
      <c r="G29" s="31">
        <f t="shared" si="5"/>
        <v>1250000</v>
      </c>
      <c r="I29" s="4">
        <v>3</v>
      </c>
      <c r="J29" s="2" t="s">
        <v>87</v>
      </c>
      <c r="K29" s="1">
        <v>1</v>
      </c>
      <c r="L29" s="38" t="s">
        <v>23</v>
      </c>
      <c r="M29" s="38" t="s">
        <v>48</v>
      </c>
      <c r="N29" s="36">
        <f t="shared" si="6"/>
        <v>1375000</v>
      </c>
      <c r="O29" s="31">
        <f t="shared" si="7"/>
        <v>1375000</v>
      </c>
      <c r="Q29" s="4">
        <v>3</v>
      </c>
      <c r="R29" s="2" t="s">
        <v>87</v>
      </c>
      <c r="S29" s="1">
        <v>1</v>
      </c>
      <c r="T29" s="38" t="s">
        <v>23</v>
      </c>
      <c r="U29" s="38" t="s">
        <v>48</v>
      </c>
      <c r="V29" s="36">
        <f t="shared" si="8"/>
        <v>1375000</v>
      </c>
      <c r="W29" s="31">
        <f t="shared" si="9"/>
        <v>1375000</v>
      </c>
      <c r="Y29" s="4">
        <v>3</v>
      </c>
      <c r="Z29" s="2" t="s">
        <v>87</v>
      </c>
      <c r="AA29" s="1">
        <v>1</v>
      </c>
      <c r="AB29" s="38" t="s">
        <v>23</v>
      </c>
      <c r="AC29" s="38" t="s">
        <v>48</v>
      </c>
      <c r="AD29" s="36">
        <f t="shared" si="10"/>
        <v>1437500</v>
      </c>
      <c r="AE29" s="31">
        <f t="shared" si="11"/>
        <v>1437500</v>
      </c>
      <c r="AG29" s="4">
        <v>3</v>
      </c>
      <c r="AH29" s="2" t="s">
        <v>87</v>
      </c>
      <c r="AI29" s="1">
        <v>1</v>
      </c>
      <c r="AJ29" s="38" t="s">
        <v>23</v>
      </c>
      <c r="AK29" s="38" t="s">
        <v>48</v>
      </c>
      <c r="AL29" s="36">
        <f t="shared" si="12"/>
        <v>1437500</v>
      </c>
      <c r="AM29" s="31">
        <f t="shared" si="13"/>
        <v>1437500</v>
      </c>
    </row>
    <row r="30" spans="1:39" s="3" customFormat="1" ht="14.55" customHeight="1" x14ac:dyDescent="0.45">
      <c r="A30" s="39">
        <v>4</v>
      </c>
      <c r="B30" s="2" t="s">
        <v>49</v>
      </c>
      <c r="C30" s="1">
        <v>2</v>
      </c>
      <c r="D30" s="38" t="s">
        <v>23</v>
      </c>
      <c r="E30" s="38" t="s">
        <v>25</v>
      </c>
      <c r="F30" s="36">
        <v>175000</v>
      </c>
      <c r="G30" s="31">
        <f t="shared" si="5"/>
        <v>350000</v>
      </c>
      <c r="I30" s="39">
        <v>4</v>
      </c>
      <c r="J30" s="2" t="s">
        <v>49</v>
      </c>
      <c r="K30" s="1">
        <v>2</v>
      </c>
      <c r="L30" s="38" t="s">
        <v>23</v>
      </c>
      <c r="M30" s="38" t="s">
        <v>25</v>
      </c>
      <c r="N30" s="36">
        <f t="shared" si="6"/>
        <v>192500.00000000003</v>
      </c>
      <c r="O30" s="31">
        <f t="shared" si="7"/>
        <v>385000.00000000006</v>
      </c>
      <c r="Q30" s="39">
        <v>4</v>
      </c>
      <c r="R30" s="2" t="s">
        <v>49</v>
      </c>
      <c r="S30" s="1">
        <v>2</v>
      </c>
      <c r="T30" s="38" t="s">
        <v>23</v>
      </c>
      <c r="U30" s="38" t="s">
        <v>25</v>
      </c>
      <c r="V30" s="36">
        <f t="shared" si="8"/>
        <v>192500.00000000003</v>
      </c>
      <c r="W30" s="31">
        <f t="shared" si="9"/>
        <v>385000.00000000006</v>
      </c>
      <c r="Y30" s="39">
        <v>4</v>
      </c>
      <c r="Z30" s="2" t="s">
        <v>49</v>
      </c>
      <c r="AA30" s="1">
        <v>2</v>
      </c>
      <c r="AB30" s="38" t="s">
        <v>23</v>
      </c>
      <c r="AC30" s="38" t="s">
        <v>25</v>
      </c>
      <c r="AD30" s="36">
        <f t="shared" si="10"/>
        <v>201249.99999999997</v>
      </c>
      <c r="AE30" s="31">
        <f t="shared" si="11"/>
        <v>402499.99999999994</v>
      </c>
      <c r="AG30" s="39">
        <v>4</v>
      </c>
      <c r="AH30" s="2" t="s">
        <v>49</v>
      </c>
      <c r="AI30" s="1">
        <v>2</v>
      </c>
      <c r="AJ30" s="38" t="s">
        <v>23</v>
      </c>
      <c r="AK30" s="38" t="s">
        <v>25</v>
      </c>
      <c r="AL30" s="36">
        <f t="shared" si="12"/>
        <v>201249.99999999997</v>
      </c>
      <c r="AM30" s="31">
        <f t="shared" si="13"/>
        <v>402499.99999999994</v>
      </c>
    </row>
    <row r="31" spans="1:39" s="3" customFormat="1" ht="14.55" customHeight="1" x14ac:dyDescent="0.45">
      <c r="A31" s="4">
        <v>5</v>
      </c>
      <c r="B31" s="2" t="s">
        <v>50</v>
      </c>
      <c r="C31" s="1">
        <v>1</v>
      </c>
      <c r="D31" s="35" t="s">
        <v>51</v>
      </c>
      <c r="E31" s="35" t="s">
        <v>25</v>
      </c>
      <c r="F31" s="36">
        <v>150000</v>
      </c>
      <c r="G31" s="31">
        <f t="shared" si="5"/>
        <v>150000</v>
      </c>
      <c r="I31" s="4">
        <v>5</v>
      </c>
      <c r="J31" s="2" t="s">
        <v>50</v>
      </c>
      <c r="K31" s="1">
        <v>1</v>
      </c>
      <c r="L31" s="35" t="s">
        <v>51</v>
      </c>
      <c r="M31" s="35" t="s">
        <v>25</v>
      </c>
      <c r="N31" s="36">
        <f t="shared" si="6"/>
        <v>165000</v>
      </c>
      <c r="O31" s="31">
        <f t="shared" si="7"/>
        <v>165000</v>
      </c>
      <c r="Q31" s="4">
        <v>5</v>
      </c>
      <c r="R31" s="2" t="s">
        <v>50</v>
      </c>
      <c r="S31" s="1">
        <v>1</v>
      </c>
      <c r="T31" s="35" t="s">
        <v>51</v>
      </c>
      <c r="U31" s="35" t="s">
        <v>25</v>
      </c>
      <c r="V31" s="36">
        <f t="shared" si="8"/>
        <v>165000</v>
      </c>
      <c r="W31" s="31">
        <f t="shared" si="9"/>
        <v>165000</v>
      </c>
      <c r="Y31" s="4">
        <v>5</v>
      </c>
      <c r="Z31" s="2" t="s">
        <v>50</v>
      </c>
      <c r="AA31" s="1">
        <v>1</v>
      </c>
      <c r="AB31" s="35" t="s">
        <v>51</v>
      </c>
      <c r="AC31" s="35" t="s">
        <v>25</v>
      </c>
      <c r="AD31" s="36">
        <f t="shared" si="10"/>
        <v>172500</v>
      </c>
      <c r="AE31" s="31">
        <f t="shared" si="11"/>
        <v>172500</v>
      </c>
      <c r="AG31" s="4">
        <v>5</v>
      </c>
      <c r="AH31" s="2" t="s">
        <v>50</v>
      </c>
      <c r="AI31" s="1">
        <v>1</v>
      </c>
      <c r="AJ31" s="35" t="s">
        <v>51</v>
      </c>
      <c r="AK31" s="35" t="s">
        <v>25</v>
      </c>
      <c r="AL31" s="36">
        <f t="shared" si="12"/>
        <v>172500</v>
      </c>
      <c r="AM31" s="31">
        <f t="shared" si="13"/>
        <v>172500</v>
      </c>
    </row>
    <row r="32" spans="1:39" s="3" customFormat="1" ht="14.55" customHeight="1" x14ac:dyDescent="0.45">
      <c r="A32" s="39">
        <v>6</v>
      </c>
      <c r="B32" s="2" t="s">
        <v>52</v>
      </c>
      <c r="C32" s="1">
        <v>1</v>
      </c>
      <c r="D32" s="35" t="s">
        <v>23</v>
      </c>
      <c r="E32" s="35" t="s">
        <v>25</v>
      </c>
      <c r="F32" s="36">
        <v>255000</v>
      </c>
      <c r="G32" s="31">
        <f t="shared" si="5"/>
        <v>255000</v>
      </c>
      <c r="I32" s="39">
        <v>6</v>
      </c>
      <c r="J32" s="2" t="s">
        <v>52</v>
      </c>
      <c r="K32" s="1">
        <v>1</v>
      </c>
      <c r="L32" s="35" t="s">
        <v>23</v>
      </c>
      <c r="M32" s="35" t="s">
        <v>25</v>
      </c>
      <c r="N32" s="36">
        <f t="shared" si="6"/>
        <v>280500</v>
      </c>
      <c r="O32" s="31">
        <f t="shared" si="7"/>
        <v>280500</v>
      </c>
      <c r="Q32" s="39">
        <v>6</v>
      </c>
      <c r="R32" s="2" t="s">
        <v>52</v>
      </c>
      <c r="S32" s="1">
        <v>1</v>
      </c>
      <c r="T32" s="35" t="s">
        <v>23</v>
      </c>
      <c r="U32" s="35" t="s">
        <v>25</v>
      </c>
      <c r="V32" s="36">
        <f t="shared" si="8"/>
        <v>280500</v>
      </c>
      <c r="W32" s="31">
        <f t="shared" si="9"/>
        <v>280500</v>
      </c>
      <c r="Y32" s="39">
        <v>6</v>
      </c>
      <c r="Z32" s="2" t="s">
        <v>52</v>
      </c>
      <c r="AA32" s="1">
        <v>1</v>
      </c>
      <c r="AB32" s="35" t="s">
        <v>23</v>
      </c>
      <c r="AC32" s="35" t="s">
        <v>25</v>
      </c>
      <c r="AD32" s="36">
        <f t="shared" si="10"/>
        <v>293250</v>
      </c>
      <c r="AE32" s="31">
        <f t="shared" si="11"/>
        <v>293250</v>
      </c>
      <c r="AG32" s="39">
        <v>6</v>
      </c>
      <c r="AH32" s="2" t="s">
        <v>52</v>
      </c>
      <c r="AI32" s="1">
        <v>1</v>
      </c>
      <c r="AJ32" s="35" t="s">
        <v>23</v>
      </c>
      <c r="AK32" s="35" t="s">
        <v>25</v>
      </c>
      <c r="AL32" s="36">
        <f t="shared" si="12"/>
        <v>293250</v>
      </c>
      <c r="AM32" s="31">
        <f t="shared" si="13"/>
        <v>293250</v>
      </c>
    </row>
    <row r="33" spans="1:39" s="3" customFormat="1" ht="14.55" customHeight="1" x14ac:dyDescent="0.45">
      <c r="A33" s="4">
        <v>7</v>
      </c>
      <c r="B33" s="2" t="s">
        <v>53</v>
      </c>
      <c r="C33" s="1">
        <v>1</v>
      </c>
      <c r="D33" s="35" t="s">
        <v>23</v>
      </c>
      <c r="E33" s="35" t="s">
        <v>25</v>
      </c>
      <c r="F33" s="36">
        <v>125000</v>
      </c>
      <c r="G33" s="31">
        <f t="shared" si="5"/>
        <v>125000</v>
      </c>
      <c r="I33" s="4">
        <v>7</v>
      </c>
      <c r="J33" s="2" t="s">
        <v>53</v>
      </c>
      <c r="K33" s="1">
        <v>1</v>
      </c>
      <c r="L33" s="35" t="s">
        <v>23</v>
      </c>
      <c r="M33" s="35" t="s">
        <v>25</v>
      </c>
      <c r="N33" s="36">
        <f t="shared" si="6"/>
        <v>137500</v>
      </c>
      <c r="O33" s="31">
        <f t="shared" si="7"/>
        <v>137500</v>
      </c>
      <c r="Q33" s="4">
        <v>7</v>
      </c>
      <c r="R33" s="2" t="s">
        <v>53</v>
      </c>
      <c r="S33" s="1">
        <v>1</v>
      </c>
      <c r="T33" s="35" t="s">
        <v>23</v>
      </c>
      <c r="U33" s="35" t="s">
        <v>25</v>
      </c>
      <c r="V33" s="36">
        <f t="shared" si="8"/>
        <v>137500</v>
      </c>
      <c r="W33" s="31">
        <f t="shared" si="9"/>
        <v>137500</v>
      </c>
      <c r="Y33" s="4">
        <v>7</v>
      </c>
      <c r="Z33" s="2" t="s">
        <v>53</v>
      </c>
      <c r="AA33" s="1">
        <v>1</v>
      </c>
      <c r="AB33" s="35" t="s">
        <v>23</v>
      </c>
      <c r="AC33" s="35" t="s">
        <v>25</v>
      </c>
      <c r="AD33" s="36">
        <f t="shared" si="10"/>
        <v>143750</v>
      </c>
      <c r="AE33" s="31">
        <f t="shared" si="11"/>
        <v>143750</v>
      </c>
      <c r="AG33" s="4">
        <v>7</v>
      </c>
      <c r="AH33" s="2" t="s">
        <v>53</v>
      </c>
      <c r="AI33" s="1">
        <v>1</v>
      </c>
      <c r="AJ33" s="35" t="s">
        <v>23</v>
      </c>
      <c r="AK33" s="35" t="s">
        <v>25</v>
      </c>
      <c r="AL33" s="36">
        <f t="shared" si="12"/>
        <v>143750</v>
      </c>
      <c r="AM33" s="31">
        <f t="shared" si="13"/>
        <v>143750</v>
      </c>
    </row>
    <row r="34" spans="1:39" s="3" customFormat="1" ht="14.55" customHeight="1" x14ac:dyDescent="0.45">
      <c r="A34" s="39">
        <v>8</v>
      </c>
      <c r="B34" s="2" t="s">
        <v>54</v>
      </c>
      <c r="C34" s="1">
        <v>1</v>
      </c>
      <c r="D34" s="35" t="s">
        <v>51</v>
      </c>
      <c r="E34" s="35" t="s">
        <v>25</v>
      </c>
      <c r="F34" s="36">
        <v>125000</v>
      </c>
      <c r="G34" s="31">
        <f t="shared" si="5"/>
        <v>125000</v>
      </c>
      <c r="I34" s="39">
        <v>8</v>
      </c>
      <c r="J34" s="2" t="s">
        <v>54</v>
      </c>
      <c r="K34" s="1">
        <v>1</v>
      </c>
      <c r="L34" s="35" t="s">
        <v>51</v>
      </c>
      <c r="M34" s="35" t="s">
        <v>25</v>
      </c>
      <c r="N34" s="36">
        <f t="shared" si="6"/>
        <v>137500</v>
      </c>
      <c r="O34" s="31">
        <f t="shared" si="7"/>
        <v>137500</v>
      </c>
      <c r="Q34" s="39">
        <v>8</v>
      </c>
      <c r="R34" s="2" t="s">
        <v>54</v>
      </c>
      <c r="S34" s="1">
        <v>1</v>
      </c>
      <c r="T34" s="35" t="s">
        <v>51</v>
      </c>
      <c r="U34" s="35" t="s">
        <v>25</v>
      </c>
      <c r="V34" s="36">
        <f t="shared" si="8"/>
        <v>137500</v>
      </c>
      <c r="W34" s="31">
        <f t="shared" si="9"/>
        <v>137500</v>
      </c>
      <c r="Y34" s="39">
        <v>8</v>
      </c>
      <c r="Z34" s="2" t="s">
        <v>54</v>
      </c>
      <c r="AA34" s="1">
        <v>1</v>
      </c>
      <c r="AB34" s="35" t="s">
        <v>51</v>
      </c>
      <c r="AC34" s="35" t="s">
        <v>25</v>
      </c>
      <c r="AD34" s="36">
        <f t="shared" si="10"/>
        <v>143750</v>
      </c>
      <c r="AE34" s="31">
        <f t="shared" si="11"/>
        <v>143750</v>
      </c>
      <c r="AG34" s="39">
        <v>8</v>
      </c>
      <c r="AH34" s="2" t="s">
        <v>54</v>
      </c>
      <c r="AI34" s="1">
        <v>1</v>
      </c>
      <c r="AJ34" s="35" t="s">
        <v>51</v>
      </c>
      <c r="AK34" s="35" t="s">
        <v>25</v>
      </c>
      <c r="AL34" s="36">
        <f t="shared" si="12"/>
        <v>143750</v>
      </c>
      <c r="AM34" s="31">
        <f t="shared" si="13"/>
        <v>143750</v>
      </c>
    </row>
    <row r="35" spans="1:39" s="3" customFormat="1" ht="14.55" customHeight="1" x14ac:dyDescent="0.45">
      <c r="A35" s="4">
        <v>9</v>
      </c>
      <c r="B35" s="2" t="s">
        <v>55</v>
      </c>
      <c r="C35" s="1">
        <v>1</v>
      </c>
      <c r="D35" s="35" t="s">
        <v>23</v>
      </c>
      <c r="E35" s="35" t="s">
        <v>25</v>
      </c>
      <c r="F35" s="36">
        <v>125000</v>
      </c>
      <c r="G35" s="31">
        <f t="shared" si="5"/>
        <v>125000</v>
      </c>
      <c r="I35" s="4">
        <v>9</v>
      </c>
      <c r="J35" s="2" t="s">
        <v>55</v>
      </c>
      <c r="K35" s="1">
        <v>1</v>
      </c>
      <c r="L35" s="35" t="s">
        <v>23</v>
      </c>
      <c r="M35" s="35" t="s">
        <v>25</v>
      </c>
      <c r="N35" s="36">
        <f t="shared" si="6"/>
        <v>137500</v>
      </c>
      <c r="O35" s="31">
        <f t="shared" si="7"/>
        <v>137500</v>
      </c>
      <c r="Q35" s="4">
        <v>9</v>
      </c>
      <c r="R35" s="2" t="s">
        <v>55</v>
      </c>
      <c r="S35" s="1">
        <v>1</v>
      </c>
      <c r="T35" s="35" t="s">
        <v>23</v>
      </c>
      <c r="U35" s="35" t="s">
        <v>25</v>
      </c>
      <c r="V35" s="36">
        <f t="shared" si="8"/>
        <v>137500</v>
      </c>
      <c r="W35" s="31">
        <f t="shared" si="9"/>
        <v>137500</v>
      </c>
      <c r="Y35" s="4">
        <v>9</v>
      </c>
      <c r="Z35" s="2" t="s">
        <v>55</v>
      </c>
      <c r="AA35" s="1">
        <v>1</v>
      </c>
      <c r="AB35" s="35" t="s">
        <v>23</v>
      </c>
      <c r="AC35" s="35" t="s">
        <v>25</v>
      </c>
      <c r="AD35" s="36">
        <f t="shared" si="10"/>
        <v>143750</v>
      </c>
      <c r="AE35" s="31">
        <f t="shared" si="11"/>
        <v>143750</v>
      </c>
      <c r="AG35" s="4">
        <v>9</v>
      </c>
      <c r="AH35" s="2" t="s">
        <v>55</v>
      </c>
      <c r="AI35" s="1">
        <v>1</v>
      </c>
      <c r="AJ35" s="35" t="s">
        <v>23</v>
      </c>
      <c r="AK35" s="35" t="s">
        <v>25</v>
      </c>
      <c r="AL35" s="36">
        <f t="shared" si="12"/>
        <v>143750</v>
      </c>
      <c r="AM35" s="31">
        <f t="shared" si="13"/>
        <v>143750</v>
      </c>
    </row>
    <row r="36" spans="1:39" s="3" customFormat="1" ht="14.55" customHeight="1" x14ac:dyDescent="0.45">
      <c r="A36" s="39">
        <v>10</v>
      </c>
      <c r="B36" s="2" t="s">
        <v>56</v>
      </c>
      <c r="C36" s="1">
        <v>1</v>
      </c>
      <c r="D36" s="35" t="s">
        <v>51</v>
      </c>
      <c r="E36" s="35" t="s">
        <v>25</v>
      </c>
      <c r="F36" s="36">
        <v>200000</v>
      </c>
      <c r="G36" s="31">
        <f t="shared" si="5"/>
        <v>200000</v>
      </c>
      <c r="I36" s="39">
        <v>10</v>
      </c>
      <c r="J36" s="2" t="s">
        <v>56</v>
      </c>
      <c r="K36" s="1">
        <v>1</v>
      </c>
      <c r="L36" s="35" t="s">
        <v>51</v>
      </c>
      <c r="M36" s="35" t="s">
        <v>25</v>
      </c>
      <c r="N36" s="36">
        <f t="shared" si="6"/>
        <v>220000.00000000003</v>
      </c>
      <c r="O36" s="31">
        <f t="shared" si="7"/>
        <v>220000.00000000003</v>
      </c>
      <c r="Q36" s="39">
        <v>10</v>
      </c>
      <c r="R36" s="2" t="s">
        <v>56</v>
      </c>
      <c r="S36" s="1">
        <v>1</v>
      </c>
      <c r="T36" s="35" t="s">
        <v>51</v>
      </c>
      <c r="U36" s="35" t="s">
        <v>25</v>
      </c>
      <c r="V36" s="36">
        <f t="shared" si="8"/>
        <v>220000.00000000003</v>
      </c>
      <c r="W36" s="31">
        <f t="shared" si="9"/>
        <v>220000.00000000003</v>
      </c>
      <c r="Y36" s="39">
        <v>10</v>
      </c>
      <c r="Z36" s="2" t="s">
        <v>56</v>
      </c>
      <c r="AA36" s="1">
        <v>1</v>
      </c>
      <c r="AB36" s="35" t="s">
        <v>51</v>
      </c>
      <c r="AC36" s="35" t="s">
        <v>25</v>
      </c>
      <c r="AD36" s="36">
        <f t="shared" si="10"/>
        <v>229999.99999999997</v>
      </c>
      <c r="AE36" s="31">
        <f t="shared" si="11"/>
        <v>229999.99999999997</v>
      </c>
      <c r="AG36" s="39">
        <v>10</v>
      </c>
      <c r="AH36" s="2" t="s">
        <v>56</v>
      </c>
      <c r="AI36" s="1">
        <v>1</v>
      </c>
      <c r="AJ36" s="35" t="s">
        <v>51</v>
      </c>
      <c r="AK36" s="35" t="s">
        <v>25</v>
      </c>
      <c r="AL36" s="36">
        <f t="shared" si="12"/>
        <v>229999.99999999997</v>
      </c>
      <c r="AM36" s="31">
        <f t="shared" si="13"/>
        <v>229999.99999999997</v>
      </c>
    </row>
    <row r="37" spans="1:39" s="3" customFormat="1" ht="14.55" customHeight="1" x14ac:dyDescent="0.45">
      <c r="A37" s="4">
        <v>11</v>
      </c>
      <c r="B37" s="2" t="s">
        <v>57</v>
      </c>
      <c r="C37" s="1">
        <v>1</v>
      </c>
      <c r="D37" s="35" t="s">
        <v>58</v>
      </c>
      <c r="E37" s="38" t="s">
        <v>48</v>
      </c>
      <c r="F37" s="36">
        <v>300000</v>
      </c>
      <c r="G37" s="31">
        <f t="shared" si="5"/>
        <v>300000</v>
      </c>
      <c r="I37" s="4">
        <v>11</v>
      </c>
      <c r="J37" s="2" t="s">
        <v>57</v>
      </c>
      <c r="K37" s="1">
        <v>1</v>
      </c>
      <c r="L37" s="35" t="s">
        <v>58</v>
      </c>
      <c r="M37" s="38" t="s">
        <v>48</v>
      </c>
      <c r="N37" s="36">
        <f t="shared" si="6"/>
        <v>330000</v>
      </c>
      <c r="O37" s="31">
        <f t="shared" si="7"/>
        <v>330000</v>
      </c>
      <c r="Q37" s="4">
        <v>11</v>
      </c>
      <c r="R37" s="2" t="s">
        <v>57</v>
      </c>
      <c r="S37" s="1">
        <v>1</v>
      </c>
      <c r="T37" s="35" t="s">
        <v>58</v>
      </c>
      <c r="U37" s="38" t="s">
        <v>48</v>
      </c>
      <c r="V37" s="36">
        <f t="shared" si="8"/>
        <v>330000</v>
      </c>
      <c r="W37" s="31">
        <f t="shared" si="9"/>
        <v>330000</v>
      </c>
      <c r="Y37" s="4">
        <v>11</v>
      </c>
      <c r="Z37" s="2" t="s">
        <v>57</v>
      </c>
      <c r="AA37" s="1">
        <v>1</v>
      </c>
      <c r="AB37" s="35" t="s">
        <v>58</v>
      </c>
      <c r="AC37" s="38" t="s">
        <v>48</v>
      </c>
      <c r="AD37" s="36">
        <f t="shared" si="10"/>
        <v>345000</v>
      </c>
      <c r="AE37" s="31">
        <f t="shared" si="11"/>
        <v>345000</v>
      </c>
      <c r="AG37" s="4">
        <v>11</v>
      </c>
      <c r="AH37" s="2" t="s">
        <v>57</v>
      </c>
      <c r="AI37" s="1">
        <v>1</v>
      </c>
      <c r="AJ37" s="35" t="s">
        <v>58</v>
      </c>
      <c r="AK37" s="38" t="s">
        <v>48</v>
      </c>
      <c r="AL37" s="36">
        <f t="shared" si="12"/>
        <v>345000</v>
      </c>
      <c r="AM37" s="31">
        <f t="shared" si="13"/>
        <v>345000</v>
      </c>
    </row>
    <row r="38" spans="1:39" s="3" customFormat="1" ht="14.55" customHeight="1" x14ac:dyDescent="0.45">
      <c r="A38" s="39">
        <v>12</v>
      </c>
      <c r="B38" s="2" t="s">
        <v>59</v>
      </c>
      <c r="C38" s="1">
        <v>1</v>
      </c>
      <c r="D38" s="35" t="s">
        <v>23</v>
      </c>
      <c r="E38" s="38" t="s">
        <v>48</v>
      </c>
      <c r="F38" s="36">
        <v>525000</v>
      </c>
      <c r="G38" s="31">
        <f t="shared" si="5"/>
        <v>525000</v>
      </c>
      <c r="I38" s="39">
        <v>12</v>
      </c>
      <c r="J38" s="2" t="s">
        <v>59</v>
      </c>
      <c r="K38" s="1">
        <v>1</v>
      </c>
      <c r="L38" s="35" t="s">
        <v>23</v>
      </c>
      <c r="M38" s="38" t="s">
        <v>48</v>
      </c>
      <c r="N38" s="36">
        <f t="shared" si="6"/>
        <v>577500</v>
      </c>
      <c r="O38" s="31">
        <f t="shared" si="7"/>
        <v>577500</v>
      </c>
      <c r="Q38" s="39">
        <v>12</v>
      </c>
      <c r="R38" s="2" t="s">
        <v>59</v>
      </c>
      <c r="S38" s="1">
        <v>1</v>
      </c>
      <c r="T38" s="35" t="s">
        <v>23</v>
      </c>
      <c r="U38" s="38" t="s">
        <v>48</v>
      </c>
      <c r="V38" s="36">
        <f t="shared" si="8"/>
        <v>577500</v>
      </c>
      <c r="W38" s="31">
        <f t="shared" si="9"/>
        <v>577500</v>
      </c>
      <c r="Y38" s="39">
        <v>12</v>
      </c>
      <c r="Z38" s="2" t="s">
        <v>59</v>
      </c>
      <c r="AA38" s="1">
        <v>1</v>
      </c>
      <c r="AB38" s="35" t="s">
        <v>23</v>
      </c>
      <c r="AC38" s="38" t="s">
        <v>48</v>
      </c>
      <c r="AD38" s="36">
        <f t="shared" si="10"/>
        <v>603750</v>
      </c>
      <c r="AE38" s="31">
        <f t="shared" si="11"/>
        <v>603750</v>
      </c>
      <c r="AG38" s="39">
        <v>12</v>
      </c>
      <c r="AH38" s="2" t="s">
        <v>59</v>
      </c>
      <c r="AI38" s="1">
        <v>1</v>
      </c>
      <c r="AJ38" s="35" t="s">
        <v>23</v>
      </c>
      <c r="AK38" s="38" t="s">
        <v>48</v>
      </c>
      <c r="AL38" s="36">
        <f t="shared" si="12"/>
        <v>603750</v>
      </c>
      <c r="AM38" s="31">
        <f t="shared" si="13"/>
        <v>603750</v>
      </c>
    </row>
    <row r="39" spans="1:39" s="3" customFormat="1" ht="14.55" customHeight="1" x14ac:dyDescent="0.45">
      <c r="A39" s="4">
        <v>13</v>
      </c>
      <c r="B39" s="2" t="s">
        <v>60</v>
      </c>
      <c r="C39" s="1">
        <v>2</v>
      </c>
      <c r="D39" s="35" t="s">
        <v>23</v>
      </c>
      <c r="E39" s="35" t="s">
        <v>25</v>
      </c>
      <c r="F39" s="36">
        <v>250000</v>
      </c>
      <c r="G39" s="31">
        <f t="shared" si="5"/>
        <v>500000</v>
      </c>
      <c r="I39" s="4">
        <v>13</v>
      </c>
      <c r="J39" s="2" t="s">
        <v>60</v>
      </c>
      <c r="K39" s="1">
        <v>2</v>
      </c>
      <c r="L39" s="35" t="s">
        <v>23</v>
      </c>
      <c r="M39" s="35" t="s">
        <v>25</v>
      </c>
      <c r="N39" s="36">
        <f t="shared" si="6"/>
        <v>275000</v>
      </c>
      <c r="O39" s="31">
        <f t="shared" si="7"/>
        <v>550000</v>
      </c>
      <c r="Q39" s="4">
        <v>13</v>
      </c>
      <c r="R39" s="2" t="s">
        <v>60</v>
      </c>
      <c r="S39" s="1">
        <v>2</v>
      </c>
      <c r="T39" s="35" t="s">
        <v>23</v>
      </c>
      <c r="U39" s="35" t="s">
        <v>25</v>
      </c>
      <c r="V39" s="36">
        <f t="shared" si="8"/>
        <v>275000</v>
      </c>
      <c r="W39" s="31">
        <f t="shared" si="9"/>
        <v>550000</v>
      </c>
      <c r="Y39" s="4">
        <v>13</v>
      </c>
      <c r="Z39" s="2" t="s">
        <v>60</v>
      </c>
      <c r="AA39" s="1">
        <v>2</v>
      </c>
      <c r="AB39" s="35" t="s">
        <v>23</v>
      </c>
      <c r="AC39" s="35" t="s">
        <v>25</v>
      </c>
      <c r="AD39" s="36">
        <f t="shared" si="10"/>
        <v>287500</v>
      </c>
      <c r="AE39" s="31">
        <f t="shared" si="11"/>
        <v>575000</v>
      </c>
      <c r="AG39" s="4">
        <v>13</v>
      </c>
      <c r="AH39" s="2" t="s">
        <v>60</v>
      </c>
      <c r="AI39" s="1">
        <v>2</v>
      </c>
      <c r="AJ39" s="35" t="s">
        <v>23</v>
      </c>
      <c r="AK39" s="35" t="s">
        <v>25</v>
      </c>
      <c r="AL39" s="36">
        <f t="shared" si="12"/>
        <v>287500</v>
      </c>
      <c r="AM39" s="31">
        <f t="shared" si="13"/>
        <v>575000</v>
      </c>
    </row>
    <row r="40" spans="1:39" s="3" customFormat="1" ht="14.55" customHeight="1" x14ac:dyDescent="0.45">
      <c r="A40" s="39">
        <v>14</v>
      </c>
      <c r="B40" s="2" t="s">
        <v>61</v>
      </c>
      <c r="C40" s="1">
        <v>1</v>
      </c>
      <c r="D40" s="35" t="s">
        <v>23</v>
      </c>
      <c r="E40" s="35" t="s">
        <v>25</v>
      </c>
      <c r="F40" s="36">
        <v>1250000</v>
      </c>
      <c r="G40" s="31">
        <f t="shared" si="5"/>
        <v>1250000</v>
      </c>
      <c r="I40" s="39">
        <v>14</v>
      </c>
      <c r="J40" s="2" t="s">
        <v>61</v>
      </c>
      <c r="K40" s="1">
        <v>1</v>
      </c>
      <c r="L40" s="35" t="s">
        <v>23</v>
      </c>
      <c r="M40" s="35" t="s">
        <v>25</v>
      </c>
      <c r="N40" s="36">
        <f t="shared" si="6"/>
        <v>1375000</v>
      </c>
      <c r="O40" s="31">
        <f t="shared" si="7"/>
        <v>1375000</v>
      </c>
      <c r="Q40" s="39">
        <v>14</v>
      </c>
      <c r="R40" s="2" t="s">
        <v>61</v>
      </c>
      <c r="S40" s="1">
        <v>1</v>
      </c>
      <c r="T40" s="35" t="s">
        <v>23</v>
      </c>
      <c r="U40" s="35" t="s">
        <v>25</v>
      </c>
      <c r="V40" s="36">
        <f t="shared" si="8"/>
        <v>1375000</v>
      </c>
      <c r="W40" s="31">
        <f t="shared" si="9"/>
        <v>1375000</v>
      </c>
      <c r="Y40" s="39">
        <v>14</v>
      </c>
      <c r="Z40" s="2" t="s">
        <v>61</v>
      </c>
      <c r="AA40" s="1">
        <v>1</v>
      </c>
      <c r="AB40" s="35" t="s">
        <v>23</v>
      </c>
      <c r="AC40" s="35" t="s">
        <v>25</v>
      </c>
      <c r="AD40" s="36">
        <f t="shared" si="10"/>
        <v>1437500</v>
      </c>
      <c r="AE40" s="31">
        <f t="shared" si="11"/>
        <v>1437500</v>
      </c>
      <c r="AG40" s="39">
        <v>14</v>
      </c>
      <c r="AH40" s="2" t="s">
        <v>61</v>
      </c>
      <c r="AI40" s="1">
        <v>1</v>
      </c>
      <c r="AJ40" s="35" t="s">
        <v>23</v>
      </c>
      <c r="AK40" s="35" t="s">
        <v>25</v>
      </c>
      <c r="AL40" s="36">
        <f t="shared" si="12"/>
        <v>1437500</v>
      </c>
      <c r="AM40" s="31">
        <f t="shared" si="13"/>
        <v>1437500</v>
      </c>
    </row>
    <row r="41" spans="1:39" s="3" customFormat="1" ht="14.55" customHeight="1" x14ac:dyDescent="0.45">
      <c r="A41" s="39"/>
      <c r="B41" s="10"/>
      <c r="C41" s="1"/>
      <c r="D41" s="35"/>
      <c r="E41" s="35"/>
      <c r="F41" s="36"/>
      <c r="G41" s="31"/>
      <c r="I41" s="39"/>
      <c r="J41" s="10"/>
      <c r="K41" s="1"/>
      <c r="L41" s="35"/>
      <c r="M41" s="35"/>
      <c r="N41" s="36"/>
      <c r="O41" s="31"/>
      <c r="Q41" s="39"/>
      <c r="R41" s="10"/>
      <c r="S41" s="1"/>
      <c r="T41" s="35"/>
      <c r="U41" s="35"/>
      <c r="V41" s="36"/>
      <c r="W41" s="31"/>
      <c r="Y41" s="39"/>
      <c r="Z41" s="10"/>
      <c r="AA41" s="1"/>
      <c r="AB41" s="35"/>
      <c r="AC41" s="35"/>
      <c r="AD41" s="36"/>
      <c r="AE41" s="31"/>
      <c r="AG41" s="39"/>
      <c r="AH41" s="10"/>
      <c r="AI41" s="1"/>
      <c r="AJ41" s="35"/>
      <c r="AK41" s="35"/>
      <c r="AL41" s="36"/>
      <c r="AM41" s="31"/>
    </row>
    <row r="42" spans="1:39" x14ac:dyDescent="0.45">
      <c r="A42" s="27" t="s">
        <v>62</v>
      </c>
      <c r="B42" s="41" t="s">
        <v>63</v>
      </c>
      <c r="C42" s="32"/>
      <c r="D42" s="32"/>
      <c r="E42" s="32"/>
      <c r="F42" s="33"/>
      <c r="G42" s="29">
        <f>SUM(G43:G50)</f>
        <v>18195000</v>
      </c>
      <c r="I42" s="27" t="s">
        <v>62</v>
      </c>
      <c r="J42" s="41" t="s">
        <v>63</v>
      </c>
      <c r="K42" s="32"/>
      <c r="L42" s="32"/>
      <c r="M42" s="32"/>
      <c r="N42" s="33"/>
      <c r="O42" s="29">
        <f>SUM(O43:O50)</f>
        <v>20014500</v>
      </c>
      <c r="Q42" s="27" t="s">
        <v>62</v>
      </c>
      <c r="R42" s="41" t="s">
        <v>63</v>
      </c>
      <c r="S42" s="32"/>
      <c r="T42" s="32"/>
      <c r="U42" s="32"/>
      <c r="V42" s="33"/>
      <c r="W42" s="29">
        <f>SUM(W43:W50)</f>
        <v>20014500</v>
      </c>
      <c r="Y42" s="27" t="s">
        <v>62</v>
      </c>
      <c r="Z42" s="41" t="s">
        <v>63</v>
      </c>
      <c r="AA42" s="32"/>
      <c r="AB42" s="32"/>
      <c r="AC42" s="32"/>
      <c r="AD42" s="33"/>
      <c r="AE42" s="29">
        <f>SUM(AE43:AE50)</f>
        <v>20924250</v>
      </c>
      <c r="AG42" s="27" t="s">
        <v>62</v>
      </c>
      <c r="AH42" s="41" t="s">
        <v>63</v>
      </c>
      <c r="AI42" s="32"/>
      <c r="AJ42" s="32"/>
      <c r="AK42" s="32"/>
      <c r="AL42" s="33"/>
      <c r="AM42" s="29">
        <f>SUM(AM43:AM50)</f>
        <v>20924250</v>
      </c>
    </row>
    <row r="43" spans="1:39" ht="27" customHeight="1" x14ac:dyDescent="0.45">
      <c r="A43" s="4">
        <v>1</v>
      </c>
      <c r="B43" s="35" t="s">
        <v>88</v>
      </c>
      <c r="C43" s="35">
        <v>25</v>
      </c>
      <c r="D43" s="35" t="s">
        <v>65</v>
      </c>
      <c r="E43" s="34" t="s">
        <v>66</v>
      </c>
      <c r="F43" s="36">
        <v>277500</v>
      </c>
      <c r="G43" s="31">
        <f t="shared" ref="G43:G50" si="14">C43*F43</f>
        <v>6937500</v>
      </c>
      <c r="I43" s="4">
        <v>1</v>
      </c>
      <c r="J43" s="35" t="s">
        <v>88</v>
      </c>
      <c r="K43" s="35">
        <v>25</v>
      </c>
      <c r="L43" s="35" t="s">
        <v>65</v>
      </c>
      <c r="M43" s="34" t="s">
        <v>66</v>
      </c>
      <c r="N43" s="36">
        <f t="shared" ref="N43:N50" si="15">F43*$M$5</f>
        <v>305250</v>
      </c>
      <c r="O43" s="31">
        <f t="shared" ref="O43:O50" si="16">K43*N43</f>
        <v>7631250</v>
      </c>
      <c r="Q43" s="4">
        <v>1</v>
      </c>
      <c r="R43" s="35" t="s">
        <v>88</v>
      </c>
      <c r="S43" s="35">
        <v>25</v>
      </c>
      <c r="T43" s="35" t="s">
        <v>65</v>
      </c>
      <c r="U43" s="34" t="s">
        <v>66</v>
      </c>
      <c r="V43" s="36">
        <f t="shared" ref="V43:V50" si="17">F43*$U$5</f>
        <v>305250</v>
      </c>
      <c r="W43" s="31">
        <f t="shared" ref="W43:W50" si="18">S43*V43</f>
        <v>7631250</v>
      </c>
      <c r="Y43" s="4">
        <v>1</v>
      </c>
      <c r="Z43" s="35" t="s">
        <v>88</v>
      </c>
      <c r="AA43" s="35">
        <v>25</v>
      </c>
      <c r="AB43" s="35" t="s">
        <v>65</v>
      </c>
      <c r="AC43" s="34" t="s">
        <v>66</v>
      </c>
      <c r="AD43" s="36">
        <f t="shared" ref="AD43:AD50" si="19">F43*$AC$5</f>
        <v>319125</v>
      </c>
      <c r="AE43" s="31">
        <f t="shared" ref="AE43:AE50" si="20">AA43*AD43</f>
        <v>7978125</v>
      </c>
      <c r="AG43" s="4">
        <v>1</v>
      </c>
      <c r="AH43" s="35" t="s">
        <v>88</v>
      </c>
      <c r="AI43" s="35">
        <v>25</v>
      </c>
      <c r="AJ43" s="35" t="s">
        <v>65</v>
      </c>
      <c r="AK43" s="34" t="s">
        <v>66</v>
      </c>
      <c r="AL43" s="36">
        <f t="shared" ref="AL43:AL50" si="21">F43*$AK$5</f>
        <v>319125</v>
      </c>
      <c r="AM43" s="31">
        <f t="shared" ref="AM43:AM50" si="22">AI43*AL43</f>
        <v>7978125</v>
      </c>
    </row>
    <row r="44" spans="1:39" ht="27" customHeight="1" x14ac:dyDescent="0.45">
      <c r="A44" s="4">
        <v>2</v>
      </c>
      <c r="B44" s="35" t="s">
        <v>89</v>
      </c>
      <c r="C44" s="35">
        <v>25</v>
      </c>
      <c r="D44" s="35" t="s">
        <v>65</v>
      </c>
      <c r="E44" s="34" t="s">
        <v>66</v>
      </c>
      <c r="F44" s="36">
        <v>277500</v>
      </c>
      <c r="G44" s="31">
        <f t="shared" si="14"/>
        <v>6937500</v>
      </c>
      <c r="I44" s="4">
        <v>2</v>
      </c>
      <c r="J44" s="35" t="s">
        <v>89</v>
      </c>
      <c r="K44" s="35">
        <v>25</v>
      </c>
      <c r="L44" s="35" t="s">
        <v>65</v>
      </c>
      <c r="M44" s="34" t="s">
        <v>66</v>
      </c>
      <c r="N44" s="36">
        <f t="shared" si="15"/>
        <v>305250</v>
      </c>
      <c r="O44" s="31">
        <f t="shared" si="16"/>
        <v>7631250</v>
      </c>
      <c r="Q44" s="4">
        <v>2</v>
      </c>
      <c r="R44" s="35" t="s">
        <v>89</v>
      </c>
      <c r="S44" s="35">
        <v>25</v>
      </c>
      <c r="T44" s="35" t="s">
        <v>65</v>
      </c>
      <c r="U44" s="34" t="s">
        <v>66</v>
      </c>
      <c r="V44" s="36">
        <f t="shared" si="17"/>
        <v>305250</v>
      </c>
      <c r="W44" s="31">
        <f t="shared" si="18"/>
        <v>7631250</v>
      </c>
      <c r="Y44" s="4">
        <v>2</v>
      </c>
      <c r="Z44" s="35" t="s">
        <v>89</v>
      </c>
      <c r="AA44" s="35">
        <v>25</v>
      </c>
      <c r="AB44" s="35" t="s">
        <v>65</v>
      </c>
      <c r="AC44" s="34" t="s">
        <v>66</v>
      </c>
      <c r="AD44" s="36">
        <f t="shared" si="19"/>
        <v>319125</v>
      </c>
      <c r="AE44" s="31">
        <f t="shared" si="20"/>
        <v>7978125</v>
      </c>
      <c r="AG44" s="4">
        <v>2</v>
      </c>
      <c r="AH44" s="35" t="s">
        <v>89</v>
      </c>
      <c r="AI44" s="35">
        <v>25</v>
      </c>
      <c r="AJ44" s="35" t="s">
        <v>65</v>
      </c>
      <c r="AK44" s="34" t="s">
        <v>66</v>
      </c>
      <c r="AL44" s="36">
        <f t="shared" si="21"/>
        <v>319125</v>
      </c>
      <c r="AM44" s="31">
        <f t="shared" si="22"/>
        <v>7978125</v>
      </c>
    </row>
    <row r="45" spans="1:39" ht="27" customHeight="1" x14ac:dyDescent="0.45">
      <c r="A45" s="4">
        <v>3</v>
      </c>
      <c r="B45" s="35" t="s">
        <v>90</v>
      </c>
      <c r="C45" s="35">
        <v>15</v>
      </c>
      <c r="D45" s="35" t="s">
        <v>65</v>
      </c>
      <c r="E45" s="34" t="s">
        <v>66</v>
      </c>
      <c r="F45" s="36">
        <v>31000</v>
      </c>
      <c r="G45" s="31">
        <f t="shared" si="14"/>
        <v>465000</v>
      </c>
      <c r="I45" s="4">
        <v>3</v>
      </c>
      <c r="J45" s="35" t="s">
        <v>90</v>
      </c>
      <c r="K45" s="35">
        <v>15</v>
      </c>
      <c r="L45" s="35" t="s">
        <v>65</v>
      </c>
      <c r="M45" s="34" t="s">
        <v>66</v>
      </c>
      <c r="N45" s="36">
        <f t="shared" si="15"/>
        <v>34100</v>
      </c>
      <c r="O45" s="31">
        <f t="shared" si="16"/>
        <v>511500</v>
      </c>
      <c r="Q45" s="4">
        <v>3</v>
      </c>
      <c r="R45" s="35" t="s">
        <v>90</v>
      </c>
      <c r="S45" s="35">
        <v>15</v>
      </c>
      <c r="T45" s="35" t="s">
        <v>65</v>
      </c>
      <c r="U45" s="34" t="s">
        <v>66</v>
      </c>
      <c r="V45" s="36">
        <f t="shared" si="17"/>
        <v>34100</v>
      </c>
      <c r="W45" s="31">
        <f t="shared" si="18"/>
        <v>511500</v>
      </c>
      <c r="Y45" s="4">
        <v>3</v>
      </c>
      <c r="Z45" s="35" t="s">
        <v>90</v>
      </c>
      <c r="AA45" s="35">
        <v>15</v>
      </c>
      <c r="AB45" s="35" t="s">
        <v>65</v>
      </c>
      <c r="AC45" s="34" t="s">
        <v>66</v>
      </c>
      <c r="AD45" s="36">
        <f t="shared" si="19"/>
        <v>35650</v>
      </c>
      <c r="AE45" s="31">
        <f t="shared" si="20"/>
        <v>534750</v>
      </c>
      <c r="AG45" s="4">
        <v>3</v>
      </c>
      <c r="AH45" s="35" t="s">
        <v>90</v>
      </c>
      <c r="AI45" s="35">
        <v>15</v>
      </c>
      <c r="AJ45" s="35" t="s">
        <v>65</v>
      </c>
      <c r="AK45" s="34" t="s">
        <v>66</v>
      </c>
      <c r="AL45" s="36">
        <f t="shared" si="21"/>
        <v>35650</v>
      </c>
      <c r="AM45" s="31">
        <f t="shared" si="22"/>
        <v>534750</v>
      </c>
    </row>
    <row r="46" spans="1:39" x14ac:dyDescent="0.45">
      <c r="A46" s="4">
        <v>4</v>
      </c>
      <c r="B46" s="35" t="s">
        <v>69</v>
      </c>
      <c r="C46" s="35">
        <v>30</v>
      </c>
      <c r="D46" s="35" t="s">
        <v>65</v>
      </c>
      <c r="E46" s="35" t="s">
        <v>25</v>
      </c>
      <c r="F46" s="36">
        <v>45500</v>
      </c>
      <c r="G46" s="31">
        <f t="shared" si="14"/>
        <v>1365000</v>
      </c>
      <c r="I46" s="4">
        <v>4</v>
      </c>
      <c r="J46" s="35" t="s">
        <v>69</v>
      </c>
      <c r="K46" s="35">
        <v>30</v>
      </c>
      <c r="L46" s="35" t="s">
        <v>65</v>
      </c>
      <c r="M46" s="35" t="s">
        <v>25</v>
      </c>
      <c r="N46" s="36">
        <f t="shared" si="15"/>
        <v>50050.000000000007</v>
      </c>
      <c r="O46" s="31">
        <f t="shared" si="16"/>
        <v>1501500.0000000002</v>
      </c>
      <c r="Q46" s="4">
        <v>4</v>
      </c>
      <c r="R46" s="35" t="s">
        <v>69</v>
      </c>
      <c r="S46" s="35">
        <v>30</v>
      </c>
      <c r="T46" s="35" t="s">
        <v>65</v>
      </c>
      <c r="U46" s="35" t="s">
        <v>25</v>
      </c>
      <c r="V46" s="36">
        <f t="shared" si="17"/>
        <v>50050.000000000007</v>
      </c>
      <c r="W46" s="31">
        <f t="shared" si="18"/>
        <v>1501500.0000000002</v>
      </c>
      <c r="Y46" s="4">
        <v>4</v>
      </c>
      <c r="Z46" s="35" t="s">
        <v>69</v>
      </c>
      <c r="AA46" s="35">
        <v>30</v>
      </c>
      <c r="AB46" s="35" t="s">
        <v>65</v>
      </c>
      <c r="AC46" s="35" t="s">
        <v>25</v>
      </c>
      <c r="AD46" s="36">
        <f t="shared" si="19"/>
        <v>52324.999999999993</v>
      </c>
      <c r="AE46" s="31">
        <f t="shared" si="20"/>
        <v>1569749.9999999998</v>
      </c>
      <c r="AG46" s="4">
        <v>4</v>
      </c>
      <c r="AH46" s="35" t="s">
        <v>69</v>
      </c>
      <c r="AI46" s="35">
        <v>30</v>
      </c>
      <c r="AJ46" s="35" t="s">
        <v>65</v>
      </c>
      <c r="AK46" s="35" t="s">
        <v>25</v>
      </c>
      <c r="AL46" s="36">
        <f t="shared" si="21"/>
        <v>52324.999999999993</v>
      </c>
      <c r="AM46" s="31">
        <f t="shared" si="22"/>
        <v>1569749.9999999998</v>
      </c>
    </row>
    <row r="47" spans="1:39" x14ac:dyDescent="0.45">
      <c r="A47" s="4">
        <v>5</v>
      </c>
      <c r="B47" s="35" t="s">
        <v>70</v>
      </c>
      <c r="C47" s="35">
        <v>30</v>
      </c>
      <c r="D47" s="35" t="s">
        <v>65</v>
      </c>
      <c r="E47" s="35" t="s">
        <v>71</v>
      </c>
      <c r="F47" s="36">
        <v>15000</v>
      </c>
      <c r="G47" s="31">
        <f t="shared" si="14"/>
        <v>450000</v>
      </c>
      <c r="I47" s="4">
        <v>5</v>
      </c>
      <c r="J47" s="35" t="s">
        <v>70</v>
      </c>
      <c r="K47" s="35">
        <v>30</v>
      </c>
      <c r="L47" s="35" t="s">
        <v>65</v>
      </c>
      <c r="M47" s="35" t="s">
        <v>71</v>
      </c>
      <c r="N47" s="36">
        <f t="shared" si="15"/>
        <v>16500</v>
      </c>
      <c r="O47" s="31">
        <f t="shared" si="16"/>
        <v>495000</v>
      </c>
      <c r="Q47" s="4">
        <v>5</v>
      </c>
      <c r="R47" s="35" t="s">
        <v>70</v>
      </c>
      <c r="S47" s="35">
        <v>30</v>
      </c>
      <c r="T47" s="35" t="s">
        <v>65</v>
      </c>
      <c r="U47" s="35" t="s">
        <v>71</v>
      </c>
      <c r="V47" s="36">
        <f t="shared" si="17"/>
        <v>16500</v>
      </c>
      <c r="W47" s="31">
        <f t="shared" si="18"/>
        <v>495000</v>
      </c>
      <c r="Y47" s="4">
        <v>5</v>
      </c>
      <c r="Z47" s="35" t="s">
        <v>70</v>
      </c>
      <c r="AA47" s="35">
        <v>30</v>
      </c>
      <c r="AB47" s="35" t="s">
        <v>65</v>
      </c>
      <c r="AC47" s="35" t="s">
        <v>71</v>
      </c>
      <c r="AD47" s="36">
        <f t="shared" si="19"/>
        <v>17250</v>
      </c>
      <c r="AE47" s="31">
        <f t="shared" si="20"/>
        <v>517500</v>
      </c>
      <c r="AG47" s="4">
        <v>5</v>
      </c>
      <c r="AH47" s="35" t="s">
        <v>70</v>
      </c>
      <c r="AI47" s="35">
        <v>30</v>
      </c>
      <c r="AJ47" s="35" t="s">
        <v>65</v>
      </c>
      <c r="AK47" s="35" t="s">
        <v>71</v>
      </c>
      <c r="AL47" s="36">
        <f t="shared" si="21"/>
        <v>17250</v>
      </c>
      <c r="AM47" s="31">
        <f t="shared" si="22"/>
        <v>517500</v>
      </c>
    </row>
    <row r="48" spans="1:39" x14ac:dyDescent="0.45">
      <c r="A48" s="4">
        <v>6</v>
      </c>
      <c r="B48" s="35" t="s">
        <v>72</v>
      </c>
      <c r="C48" s="35">
        <v>3</v>
      </c>
      <c r="D48" s="35" t="s">
        <v>23</v>
      </c>
      <c r="E48" s="35" t="s">
        <v>71</v>
      </c>
      <c r="F48" s="36">
        <v>15000</v>
      </c>
      <c r="G48" s="31">
        <f t="shared" si="14"/>
        <v>45000</v>
      </c>
      <c r="I48" s="4">
        <v>6</v>
      </c>
      <c r="J48" s="35" t="s">
        <v>72</v>
      </c>
      <c r="K48" s="35">
        <v>3</v>
      </c>
      <c r="L48" s="35" t="s">
        <v>23</v>
      </c>
      <c r="M48" s="35" t="s">
        <v>71</v>
      </c>
      <c r="N48" s="36">
        <f t="shared" si="15"/>
        <v>16500</v>
      </c>
      <c r="O48" s="31">
        <f t="shared" si="16"/>
        <v>49500</v>
      </c>
      <c r="Q48" s="4">
        <v>6</v>
      </c>
      <c r="R48" s="35" t="s">
        <v>72</v>
      </c>
      <c r="S48" s="35">
        <v>3</v>
      </c>
      <c r="T48" s="35" t="s">
        <v>23</v>
      </c>
      <c r="U48" s="35" t="s">
        <v>71</v>
      </c>
      <c r="V48" s="36">
        <f t="shared" si="17"/>
        <v>16500</v>
      </c>
      <c r="W48" s="31">
        <f t="shared" si="18"/>
        <v>49500</v>
      </c>
      <c r="Y48" s="4">
        <v>6</v>
      </c>
      <c r="Z48" s="35" t="s">
        <v>72</v>
      </c>
      <c r="AA48" s="35">
        <v>3</v>
      </c>
      <c r="AB48" s="35" t="s">
        <v>23</v>
      </c>
      <c r="AC48" s="35" t="s">
        <v>71</v>
      </c>
      <c r="AD48" s="36">
        <f t="shared" si="19"/>
        <v>17250</v>
      </c>
      <c r="AE48" s="31">
        <f t="shared" si="20"/>
        <v>51750</v>
      </c>
      <c r="AG48" s="4">
        <v>6</v>
      </c>
      <c r="AH48" s="35" t="s">
        <v>72</v>
      </c>
      <c r="AI48" s="35">
        <v>3</v>
      </c>
      <c r="AJ48" s="35" t="s">
        <v>23</v>
      </c>
      <c r="AK48" s="35" t="s">
        <v>71</v>
      </c>
      <c r="AL48" s="36">
        <f t="shared" si="21"/>
        <v>17250</v>
      </c>
      <c r="AM48" s="31">
        <f t="shared" si="22"/>
        <v>51750</v>
      </c>
    </row>
    <row r="49" spans="1:39" x14ac:dyDescent="0.45">
      <c r="A49" s="4">
        <v>7</v>
      </c>
      <c r="B49" s="35" t="s">
        <v>73</v>
      </c>
      <c r="C49" s="35">
        <v>3</v>
      </c>
      <c r="D49" s="35" t="s">
        <v>23</v>
      </c>
      <c r="E49" s="35" t="s">
        <v>71</v>
      </c>
      <c r="F49" s="36">
        <v>15000</v>
      </c>
      <c r="G49" s="31">
        <f t="shared" si="14"/>
        <v>45000</v>
      </c>
      <c r="I49" s="4">
        <v>7</v>
      </c>
      <c r="J49" s="35" t="s">
        <v>73</v>
      </c>
      <c r="K49" s="35">
        <v>3</v>
      </c>
      <c r="L49" s="35" t="s">
        <v>23</v>
      </c>
      <c r="M49" s="35" t="s">
        <v>71</v>
      </c>
      <c r="N49" s="36">
        <f t="shared" si="15"/>
        <v>16500</v>
      </c>
      <c r="O49" s="31">
        <f t="shared" si="16"/>
        <v>49500</v>
      </c>
      <c r="Q49" s="4">
        <v>7</v>
      </c>
      <c r="R49" s="35" t="s">
        <v>73</v>
      </c>
      <c r="S49" s="35">
        <v>3</v>
      </c>
      <c r="T49" s="35" t="s">
        <v>23</v>
      </c>
      <c r="U49" s="35" t="s">
        <v>71</v>
      </c>
      <c r="V49" s="36">
        <f t="shared" si="17"/>
        <v>16500</v>
      </c>
      <c r="W49" s="31">
        <f t="shared" si="18"/>
        <v>49500</v>
      </c>
      <c r="Y49" s="4">
        <v>7</v>
      </c>
      <c r="Z49" s="35" t="s">
        <v>73</v>
      </c>
      <c r="AA49" s="35">
        <v>3</v>
      </c>
      <c r="AB49" s="35" t="s">
        <v>23</v>
      </c>
      <c r="AC49" s="35" t="s">
        <v>71</v>
      </c>
      <c r="AD49" s="36">
        <f t="shared" si="19"/>
        <v>17250</v>
      </c>
      <c r="AE49" s="31">
        <f t="shared" si="20"/>
        <v>51750</v>
      </c>
      <c r="AG49" s="4">
        <v>7</v>
      </c>
      <c r="AH49" s="35" t="s">
        <v>73</v>
      </c>
      <c r="AI49" s="35">
        <v>3</v>
      </c>
      <c r="AJ49" s="35" t="s">
        <v>23</v>
      </c>
      <c r="AK49" s="35" t="s">
        <v>71</v>
      </c>
      <c r="AL49" s="36">
        <f t="shared" si="21"/>
        <v>17250</v>
      </c>
      <c r="AM49" s="31">
        <f t="shared" si="22"/>
        <v>51750</v>
      </c>
    </row>
    <row r="50" spans="1:39" x14ac:dyDescent="0.45">
      <c r="A50" s="4">
        <v>8</v>
      </c>
      <c r="B50" s="35" t="s">
        <v>74</v>
      </c>
      <c r="C50" s="35">
        <v>30</v>
      </c>
      <c r="D50" s="35" t="s">
        <v>65</v>
      </c>
      <c r="E50" s="35" t="s">
        <v>25</v>
      </c>
      <c r="F50" s="36">
        <v>65000</v>
      </c>
      <c r="G50" s="31">
        <f t="shared" si="14"/>
        <v>1950000</v>
      </c>
      <c r="I50" s="4">
        <v>8</v>
      </c>
      <c r="J50" s="35" t="s">
        <v>74</v>
      </c>
      <c r="K50" s="35">
        <v>30</v>
      </c>
      <c r="L50" s="35" t="s">
        <v>65</v>
      </c>
      <c r="M50" s="35" t="s">
        <v>25</v>
      </c>
      <c r="N50" s="36">
        <f t="shared" si="15"/>
        <v>71500</v>
      </c>
      <c r="O50" s="31">
        <f t="shared" si="16"/>
        <v>2145000</v>
      </c>
      <c r="Q50" s="4">
        <v>8</v>
      </c>
      <c r="R50" s="35" t="s">
        <v>74</v>
      </c>
      <c r="S50" s="35">
        <v>30</v>
      </c>
      <c r="T50" s="35" t="s">
        <v>65</v>
      </c>
      <c r="U50" s="35" t="s">
        <v>25</v>
      </c>
      <c r="V50" s="36">
        <f t="shared" si="17"/>
        <v>71500</v>
      </c>
      <c r="W50" s="31">
        <f t="shared" si="18"/>
        <v>2145000</v>
      </c>
      <c r="Y50" s="4">
        <v>8</v>
      </c>
      <c r="Z50" s="35" t="s">
        <v>74</v>
      </c>
      <c r="AA50" s="35">
        <v>30</v>
      </c>
      <c r="AB50" s="35" t="s">
        <v>65</v>
      </c>
      <c r="AC50" s="35" t="s">
        <v>25</v>
      </c>
      <c r="AD50" s="36">
        <f t="shared" si="19"/>
        <v>74750</v>
      </c>
      <c r="AE50" s="31">
        <f t="shared" si="20"/>
        <v>2242500</v>
      </c>
      <c r="AG50" s="4">
        <v>8</v>
      </c>
      <c r="AH50" s="35" t="s">
        <v>74</v>
      </c>
      <c r="AI50" s="35">
        <v>30</v>
      </c>
      <c r="AJ50" s="35" t="s">
        <v>65</v>
      </c>
      <c r="AK50" s="35" t="s">
        <v>25</v>
      </c>
      <c r="AL50" s="36">
        <f t="shared" si="21"/>
        <v>74750</v>
      </c>
      <c r="AM50" s="31">
        <f t="shared" si="22"/>
        <v>2242500</v>
      </c>
    </row>
    <row r="51" spans="1:39" x14ac:dyDescent="0.45">
      <c r="B51" s="42"/>
      <c r="C51" s="42"/>
      <c r="D51" s="42"/>
      <c r="E51" s="42"/>
      <c r="F51" s="43"/>
      <c r="G51" s="44"/>
      <c r="J51" s="42"/>
      <c r="K51" s="42"/>
      <c r="L51" s="42"/>
      <c r="M51" s="42"/>
      <c r="N51" s="43"/>
      <c r="O51" s="44"/>
      <c r="R51" s="42"/>
      <c r="S51" s="42"/>
      <c r="T51" s="42"/>
      <c r="U51" s="42"/>
      <c r="V51" s="43"/>
      <c r="W51" s="44"/>
      <c r="Z51" s="42"/>
      <c r="AA51" s="42"/>
      <c r="AB51" s="42"/>
      <c r="AC51" s="42"/>
      <c r="AD51" s="43"/>
      <c r="AE51" s="44"/>
      <c r="AH51" s="42"/>
      <c r="AI51" s="42"/>
      <c r="AJ51" s="42"/>
      <c r="AK51" s="42"/>
      <c r="AL51" s="43"/>
      <c r="AM51" s="44"/>
    </row>
    <row r="52" spans="1:39" x14ac:dyDescent="0.45">
      <c r="A52" s="45" t="s">
        <v>75</v>
      </c>
      <c r="B52" s="46" t="s">
        <v>76</v>
      </c>
      <c r="C52" s="47">
        <v>1</v>
      </c>
      <c r="D52" s="47" t="s">
        <v>16</v>
      </c>
      <c r="E52" s="47"/>
      <c r="F52" s="48">
        <v>1000000</v>
      </c>
      <c r="G52" s="48">
        <f>C52*F52</f>
        <v>1000000</v>
      </c>
      <c r="I52" s="45" t="s">
        <v>75</v>
      </c>
      <c r="J52" s="46" t="s">
        <v>77</v>
      </c>
      <c r="K52" s="47">
        <v>1</v>
      </c>
      <c r="L52" s="47" t="s">
        <v>16</v>
      </c>
      <c r="M52" s="47"/>
      <c r="N52" s="48">
        <f>F52*$M$5</f>
        <v>1100000</v>
      </c>
      <c r="O52" s="48">
        <f>K52*N52</f>
        <v>1100000</v>
      </c>
      <c r="Q52" s="45" t="s">
        <v>75</v>
      </c>
      <c r="R52" s="46" t="s">
        <v>78</v>
      </c>
      <c r="S52" s="47">
        <v>1</v>
      </c>
      <c r="T52" s="47" t="s">
        <v>16</v>
      </c>
      <c r="U52" s="47"/>
      <c r="V52" s="48">
        <f>F52*$U$5</f>
        <v>1100000</v>
      </c>
      <c r="W52" s="48">
        <f>S52*V52</f>
        <v>1100000</v>
      </c>
      <c r="Y52" s="45" t="s">
        <v>75</v>
      </c>
      <c r="Z52" s="46" t="s">
        <v>79</v>
      </c>
      <c r="AA52" s="47">
        <v>1</v>
      </c>
      <c r="AB52" s="47" t="s">
        <v>16</v>
      </c>
      <c r="AC52" s="47"/>
      <c r="AD52" s="48">
        <f>F52*$AC$5</f>
        <v>1150000</v>
      </c>
      <c r="AE52" s="48">
        <f>AA52*AD52</f>
        <v>1150000</v>
      </c>
      <c r="AG52" s="45" t="s">
        <v>75</v>
      </c>
      <c r="AH52" s="46" t="s">
        <v>80</v>
      </c>
      <c r="AI52" s="47">
        <v>1</v>
      </c>
      <c r="AJ52" s="47" t="s">
        <v>16</v>
      </c>
      <c r="AK52" s="47"/>
      <c r="AL52" s="48">
        <f>F52*$AK$5</f>
        <v>1150000</v>
      </c>
      <c r="AM52" s="48">
        <f>AI52*AL52</f>
        <v>1150000</v>
      </c>
    </row>
    <row r="53" spans="1:39" s="51" customFormat="1" x14ac:dyDescent="0.45">
      <c r="A53" s="49"/>
      <c r="B53" s="50"/>
      <c r="C53" s="35"/>
      <c r="D53" s="35"/>
      <c r="E53" s="35"/>
      <c r="F53" s="36"/>
      <c r="G53" s="36"/>
      <c r="I53" s="49"/>
      <c r="J53" s="50"/>
      <c r="K53" s="35"/>
      <c r="L53" s="35"/>
      <c r="M53" s="35"/>
      <c r="N53" s="36"/>
      <c r="O53" s="36"/>
      <c r="Q53" s="49"/>
      <c r="R53" s="50"/>
      <c r="S53" s="35"/>
      <c r="T53" s="35"/>
      <c r="U53" s="35"/>
      <c r="V53" s="36"/>
      <c r="W53" s="36"/>
      <c r="Y53" s="49"/>
      <c r="Z53" s="50"/>
      <c r="AA53" s="35"/>
      <c r="AB53" s="35"/>
      <c r="AC53" s="35"/>
      <c r="AD53" s="36"/>
      <c r="AE53" s="36"/>
      <c r="AG53" s="49"/>
      <c r="AH53" s="50"/>
      <c r="AI53" s="35"/>
      <c r="AJ53" s="35"/>
      <c r="AK53" s="35"/>
      <c r="AL53" s="36"/>
      <c r="AM53" s="36"/>
    </row>
    <row r="54" spans="1:39" x14ac:dyDescent="0.45">
      <c r="F54" s="52" t="s">
        <v>81</v>
      </c>
      <c r="G54" s="52">
        <f>G8+G13+G20+G26+G42+G52</f>
        <v>53000000</v>
      </c>
      <c r="N54" s="52" t="s">
        <v>81</v>
      </c>
      <c r="O54" s="52">
        <f>O8+O13+O20+O26+O42+O52</f>
        <v>57900000</v>
      </c>
      <c r="V54" s="52" t="s">
        <v>81</v>
      </c>
      <c r="W54" s="52">
        <f>W8+W13+W20+W26+W42+W52</f>
        <v>57900000</v>
      </c>
      <c r="AD54" s="52" t="s">
        <v>81</v>
      </c>
      <c r="AE54" s="52">
        <f>AE8+AE13+AE20+AE26+AE42+AE52</f>
        <v>60100000</v>
      </c>
      <c r="AL54" s="52" t="s">
        <v>81</v>
      </c>
      <c r="AM54" s="52">
        <f>AM8+AM13+AM20+AM26+AM42+AM52</f>
        <v>60600000</v>
      </c>
    </row>
    <row r="55" spans="1:39" x14ac:dyDescent="0.45">
      <c r="F55" s="53" t="s">
        <v>82</v>
      </c>
      <c r="G55" s="53">
        <f>G54*11%</f>
        <v>5830000</v>
      </c>
      <c r="N55" s="53" t="s">
        <v>82</v>
      </c>
      <c r="O55" s="53">
        <f>O54*11%</f>
        <v>6369000</v>
      </c>
      <c r="V55" s="53" t="s">
        <v>82</v>
      </c>
      <c r="W55" s="53">
        <f>W54*11%</f>
        <v>6369000</v>
      </c>
      <c r="AD55" s="53" t="s">
        <v>82</v>
      </c>
      <c r="AE55" s="53">
        <f>AE54*11%</f>
        <v>6611000</v>
      </c>
      <c r="AL55" s="53" t="s">
        <v>82</v>
      </c>
      <c r="AM55" s="53">
        <f>AM54*11%</f>
        <v>6666000</v>
      </c>
    </row>
    <row r="56" spans="1:39" x14ac:dyDescent="0.45">
      <c r="F56" s="54" t="s">
        <v>83</v>
      </c>
      <c r="G56" s="54">
        <f>G54+G55</f>
        <v>58830000</v>
      </c>
      <c r="N56" s="54" t="s">
        <v>83</v>
      </c>
      <c r="O56" s="54">
        <f>O54+O55</f>
        <v>64269000</v>
      </c>
      <c r="V56" s="54" t="s">
        <v>83</v>
      </c>
      <c r="W56" s="54">
        <f>W54+W55</f>
        <v>64269000</v>
      </c>
      <c r="AD56" s="54" t="s">
        <v>83</v>
      </c>
      <c r="AE56" s="54">
        <f>AE54+AE55</f>
        <v>66711000</v>
      </c>
      <c r="AL56" s="54" t="s">
        <v>83</v>
      </c>
      <c r="AM56" s="54">
        <f>AM54+AM55</f>
        <v>67266000</v>
      </c>
    </row>
    <row r="57" spans="1:39" s="55" customFormat="1" x14ac:dyDescent="0.45">
      <c r="A57" s="16"/>
      <c r="B57" s="16"/>
      <c r="C57" s="16"/>
      <c r="D57" s="16"/>
      <c r="E57" s="16"/>
    </row>
  </sheetData>
  <mergeCells count="25">
    <mergeCell ref="N5:O5"/>
    <mergeCell ref="K6:L6"/>
    <mergeCell ref="I7:L7"/>
    <mergeCell ref="A1:B1"/>
    <mergeCell ref="A3:D3"/>
    <mergeCell ref="F5:G5"/>
    <mergeCell ref="C6:D6"/>
    <mergeCell ref="A7:D7"/>
    <mergeCell ref="I1:J1"/>
    <mergeCell ref="I3:L3"/>
    <mergeCell ref="AL5:AM5"/>
    <mergeCell ref="AI6:AJ6"/>
    <mergeCell ref="AG7:AJ7"/>
    <mergeCell ref="V5:W5"/>
    <mergeCell ref="S6:T6"/>
    <mergeCell ref="Q7:T7"/>
    <mergeCell ref="AD5:AE5"/>
    <mergeCell ref="AA6:AB6"/>
    <mergeCell ref="Y7:AB7"/>
    <mergeCell ref="Q1:R1"/>
    <mergeCell ref="Q3:T3"/>
    <mergeCell ref="Y1:Z1"/>
    <mergeCell ref="Y3:AC3"/>
    <mergeCell ref="AG1:AH1"/>
    <mergeCell ref="AG3:AK3"/>
  </mergeCells>
  <pageMargins left="0.35433070866141736" right="0.23622047244094491" top="0.74803149606299213" bottom="0.74803149606299213" header="0.31496062992125984" footer="0.31496062992125984"/>
  <pageSetup paperSize="9" scale="4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3A1C6-4EE1-4A22-9028-A3B9E9FCF961}">
  <sheetPr>
    <tabColor rgb="FF92D050"/>
  </sheetPr>
  <dimension ref="A1:AM57"/>
  <sheetViews>
    <sheetView topLeftCell="AC1" zoomScale="70" zoomScaleNormal="70" zoomScaleSheetLayoutView="100" workbookViewId="0">
      <selection activeCell="T2" sqref="T2"/>
    </sheetView>
  </sheetViews>
  <sheetFormatPr defaultColWidth="8.73046875" defaultRowHeight="13.15" x14ac:dyDescent="0.45"/>
  <cols>
    <col min="1" max="1" width="6.73046875" style="16" customWidth="1"/>
    <col min="2" max="2" width="71.19921875" style="16" customWidth="1"/>
    <col min="3" max="3" width="11" style="16" customWidth="1"/>
    <col min="4" max="4" width="6.73046875" style="16" customWidth="1"/>
    <col min="5" max="5" width="23.33203125" style="16" bestFit="1" customWidth="1"/>
    <col min="6" max="6" width="23.59765625" style="16" bestFit="1" customWidth="1"/>
    <col min="7" max="7" width="21.265625" style="16" bestFit="1" customWidth="1"/>
    <col min="8" max="8" width="9.19921875" style="16"/>
    <col min="9" max="9" width="6.73046875" style="16" customWidth="1"/>
    <col min="10" max="10" width="71.19921875" style="16" customWidth="1"/>
    <col min="11" max="11" width="11" style="16" customWidth="1"/>
    <col min="12" max="12" width="6.73046875" style="16" customWidth="1"/>
    <col min="13" max="13" width="23.33203125" style="16" bestFit="1" customWidth="1"/>
    <col min="14" max="14" width="23.59765625" style="16" bestFit="1" customWidth="1"/>
    <col min="15" max="15" width="21.265625" style="16" bestFit="1" customWidth="1"/>
    <col min="16" max="16" width="9.19921875" style="16"/>
    <col min="17" max="17" width="6.73046875" style="16" customWidth="1"/>
    <col min="18" max="18" width="71.19921875" style="16" customWidth="1"/>
    <col min="19" max="19" width="11" style="16" customWidth="1"/>
    <col min="20" max="20" width="6.73046875" style="16" customWidth="1"/>
    <col min="21" max="21" width="23.33203125" style="16" bestFit="1" customWidth="1"/>
    <col min="22" max="22" width="23.59765625" style="16" bestFit="1" customWidth="1"/>
    <col min="23" max="23" width="21.265625" style="16" bestFit="1" customWidth="1"/>
    <col min="24" max="24" width="9.19921875" style="16"/>
    <col min="25" max="25" width="6.73046875" style="16" customWidth="1"/>
    <col min="26" max="26" width="71.19921875" style="16" customWidth="1"/>
    <col min="27" max="27" width="11" style="16" customWidth="1"/>
    <col min="28" max="28" width="6.73046875" style="16" customWidth="1"/>
    <col min="29" max="29" width="23.33203125" style="16" bestFit="1" customWidth="1"/>
    <col min="30" max="30" width="23.59765625" style="16" bestFit="1" customWidth="1"/>
    <col min="31" max="31" width="21.265625" style="16" bestFit="1" customWidth="1"/>
    <col min="32" max="32" width="9.19921875" style="16"/>
    <col min="33" max="33" width="6.73046875" style="16" customWidth="1"/>
    <col min="34" max="34" width="71.19921875" style="16" customWidth="1"/>
    <col min="35" max="35" width="11" style="16" customWidth="1"/>
    <col min="36" max="36" width="6.73046875" style="16" customWidth="1"/>
    <col min="37" max="37" width="23.33203125" style="16" bestFit="1" customWidth="1"/>
    <col min="38" max="38" width="23.59765625" style="16" bestFit="1" customWidth="1"/>
    <col min="39" max="39" width="21.265625" style="16" bestFit="1" customWidth="1"/>
    <col min="40" max="16384" width="8.73046875" style="16"/>
  </cols>
  <sheetData>
    <row r="1" spans="1:39" ht="31.15" customHeight="1" x14ac:dyDescent="0.45">
      <c r="A1" s="101" t="s">
        <v>91</v>
      </c>
      <c r="B1" s="101"/>
      <c r="I1" s="101" t="s">
        <v>91</v>
      </c>
      <c r="J1" s="101"/>
      <c r="Q1" s="101" t="s">
        <v>91</v>
      </c>
      <c r="R1" s="101"/>
      <c r="Y1" s="101" t="s">
        <v>91</v>
      </c>
      <c r="Z1" s="101"/>
      <c r="AG1" s="101" t="s">
        <v>91</v>
      </c>
      <c r="AH1" s="101"/>
    </row>
    <row r="2" spans="1:39" x14ac:dyDescent="0.45">
      <c r="A2" s="17" t="s">
        <v>1</v>
      </c>
      <c r="B2" s="18"/>
      <c r="I2" s="17" t="s">
        <v>1</v>
      </c>
      <c r="J2" s="18"/>
      <c r="Q2" s="17" t="s">
        <v>1</v>
      </c>
      <c r="R2" s="18"/>
      <c r="Y2" s="17" t="s">
        <v>1</v>
      </c>
      <c r="Z2" s="18"/>
      <c r="AG2" s="17" t="s">
        <v>1</v>
      </c>
      <c r="AH2" s="18"/>
    </row>
    <row r="3" spans="1:39" x14ac:dyDescent="0.45">
      <c r="A3" s="102" t="s">
        <v>2</v>
      </c>
      <c r="B3" s="102"/>
      <c r="C3" s="102"/>
      <c r="D3" s="102"/>
      <c r="E3" s="19"/>
      <c r="I3" s="102" t="s">
        <v>2</v>
      </c>
      <c r="J3" s="102"/>
      <c r="K3" s="102"/>
      <c r="L3" s="102"/>
      <c r="Q3" s="102" t="s">
        <v>2</v>
      </c>
      <c r="R3" s="102"/>
      <c r="S3" s="102"/>
      <c r="T3" s="102"/>
      <c r="Y3" s="102" t="s">
        <v>2</v>
      </c>
      <c r="Z3" s="102"/>
      <c r="AA3" s="102"/>
      <c r="AB3" s="102"/>
      <c r="AG3" s="102" t="s">
        <v>2</v>
      </c>
      <c r="AH3" s="102"/>
      <c r="AI3" s="102"/>
    </row>
    <row r="4" spans="1:39" x14ac:dyDescent="0.45">
      <c r="B4" s="17"/>
    </row>
    <row r="5" spans="1:39" ht="25.15" customHeight="1" thickBot="1" x14ac:dyDescent="0.5">
      <c r="B5" s="17"/>
      <c r="F5" s="96" t="s">
        <v>3</v>
      </c>
      <c r="G5" s="96"/>
      <c r="J5" s="17"/>
      <c r="M5" s="56">
        <v>1.1000000000000001</v>
      </c>
      <c r="N5" s="96" t="s">
        <v>4</v>
      </c>
      <c r="O5" s="96"/>
      <c r="R5" s="17"/>
      <c r="U5" s="56">
        <v>1.1000000000000001</v>
      </c>
      <c r="V5" s="96" t="s">
        <v>5</v>
      </c>
      <c r="W5" s="96"/>
      <c r="Z5" s="17"/>
      <c r="AC5" s="56">
        <v>1.1499999999999999</v>
      </c>
      <c r="AD5" s="96" t="s">
        <v>6</v>
      </c>
      <c r="AE5" s="96"/>
      <c r="AH5" s="17"/>
      <c r="AK5" s="56">
        <v>1.1499999999999999</v>
      </c>
      <c r="AL5" s="96" t="s">
        <v>7</v>
      </c>
      <c r="AM5" s="96"/>
    </row>
    <row r="6" spans="1:39" s="25" customFormat="1" ht="13.5" thickBot="1" x14ac:dyDescent="0.5">
      <c r="A6" s="20" t="s">
        <v>8</v>
      </c>
      <c r="B6" s="21" t="s">
        <v>9</v>
      </c>
      <c r="C6" s="97" t="s">
        <v>10</v>
      </c>
      <c r="D6" s="98"/>
      <c r="E6" s="22" t="s">
        <v>11</v>
      </c>
      <c r="F6" s="23" t="s">
        <v>12</v>
      </c>
      <c r="G6" s="24" t="s">
        <v>13</v>
      </c>
      <c r="I6" s="20" t="s">
        <v>8</v>
      </c>
      <c r="J6" s="21" t="s">
        <v>9</v>
      </c>
      <c r="K6" s="97" t="s">
        <v>10</v>
      </c>
      <c r="L6" s="98"/>
      <c r="M6" s="22" t="s">
        <v>11</v>
      </c>
      <c r="N6" s="23" t="s">
        <v>12</v>
      </c>
      <c r="O6" s="24" t="s">
        <v>13</v>
      </c>
      <c r="Q6" s="20" t="s">
        <v>8</v>
      </c>
      <c r="R6" s="21" t="s">
        <v>9</v>
      </c>
      <c r="S6" s="97" t="s">
        <v>10</v>
      </c>
      <c r="T6" s="98"/>
      <c r="U6" s="22" t="s">
        <v>11</v>
      </c>
      <c r="V6" s="23" t="s">
        <v>12</v>
      </c>
      <c r="W6" s="24" t="s">
        <v>13</v>
      </c>
      <c r="Y6" s="20" t="s">
        <v>8</v>
      </c>
      <c r="Z6" s="21" t="s">
        <v>9</v>
      </c>
      <c r="AA6" s="97" t="s">
        <v>10</v>
      </c>
      <c r="AB6" s="98"/>
      <c r="AC6" s="22" t="s">
        <v>11</v>
      </c>
      <c r="AD6" s="23" t="s">
        <v>12</v>
      </c>
      <c r="AE6" s="24" t="s">
        <v>13</v>
      </c>
      <c r="AG6" s="20" t="s">
        <v>8</v>
      </c>
      <c r="AH6" s="21" t="s">
        <v>9</v>
      </c>
      <c r="AI6" s="97" t="s">
        <v>10</v>
      </c>
      <c r="AJ6" s="98"/>
      <c r="AK6" s="22" t="s">
        <v>11</v>
      </c>
      <c r="AL6" s="23" t="s">
        <v>12</v>
      </c>
      <c r="AM6" s="24" t="s">
        <v>13</v>
      </c>
    </row>
    <row r="7" spans="1:39" x14ac:dyDescent="0.45">
      <c r="A7" s="99"/>
      <c r="B7" s="100"/>
      <c r="C7" s="100"/>
      <c r="D7" s="100"/>
      <c r="E7" s="26"/>
      <c r="I7" s="99"/>
      <c r="J7" s="100"/>
      <c r="K7" s="100"/>
      <c r="L7" s="100"/>
      <c r="M7" s="26"/>
      <c r="Q7" s="99"/>
      <c r="R7" s="100"/>
      <c r="S7" s="100"/>
      <c r="T7" s="100"/>
      <c r="U7" s="26"/>
      <c r="Y7" s="99"/>
      <c r="Z7" s="100"/>
      <c r="AA7" s="100"/>
      <c r="AB7" s="100"/>
      <c r="AC7" s="26"/>
      <c r="AG7" s="99"/>
      <c r="AH7" s="100"/>
      <c r="AI7" s="100"/>
      <c r="AJ7" s="100"/>
      <c r="AK7" s="26"/>
    </row>
    <row r="8" spans="1:39" x14ac:dyDescent="0.45">
      <c r="A8" s="27" t="s">
        <v>14</v>
      </c>
      <c r="B8" s="28" t="s">
        <v>15</v>
      </c>
      <c r="C8" s="28">
        <v>1</v>
      </c>
      <c r="D8" s="28" t="s">
        <v>16</v>
      </c>
      <c r="E8" s="28"/>
      <c r="F8" s="29"/>
      <c r="G8" s="29">
        <f>SUM(G9:G11)</f>
        <v>14888000</v>
      </c>
      <c r="I8" s="27" t="s">
        <v>14</v>
      </c>
      <c r="J8" s="28" t="s">
        <v>15</v>
      </c>
      <c r="K8" s="28">
        <v>1</v>
      </c>
      <c r="L8" s="28" t="s">
        <v>16</v>
      </c>
      <c r="M8" s="28"/>
      <c r="N8" s="29"/>
      <c r="O8" s="29">
        <f>SUM(O9:O11)</f>
        <v>15388000</v>
      </c>
      <c r="Q8" s="27" t="s">
        <v>14</v>
      </c>
      <c r="R8" s="28" t="s">
        <v>15</v>
      </c>
      <c r="S8" s="28">
        <v>1</v>
      </c>
      <c r="T8" s="28" t="s">
        <v>16</v>
      </c>
      <c r="U8" s="28"/>
      <c r="V8" s="29"/>
      <c r="W8" s="29">
        <f>SUM(W9:W11)</f>
        <v>15388000</v>
      </c>
      <c r="Y8" s="27" t="s">
        <v>14</v>
      </c>
      <c r="Z8" s="28" t="s">
        <v>15</v>
      </c>
      <c r="AA8" s="28">
        <v>1</v>
      </c>
      <c r="AB8" s="28" t="s">
        <v>16</v>
      </c>
      <c r="AC8" s="28"/>
      <c r="AD8" s="29"/>
      <c r="AE8" s="29">
        <f>SUM(AE9:AE11)</f>
        <v>15388000</v>
      </c>
      <c r="AG8" s="27" t="s">
        <v>14</v>
      </c>
      <c r="AH8" s="28" t="s">
        <v>15</v>
      </c>
      <c r="AI8" s="28">
        <v>1</v>
      </c>
      <c r="AJ8" s="28" t="s">
        <v>16</v>
      </c>
      <c r="AK8" s="28"/>
      <c r="AL8" s="29"/>
      <c r="AM8" s="29">
        <f>SUM(AM9:AM11)</f>
        <v>15888000</v>
      </c>
    </row>
    <row r="9" spans="1:39" x14ac:dyDescent="0.45">
      <c r="A9" s="4">
        <v>1</v>
      </c>
      <c r="B9" s="30" t="s">
        <v>17</v>
      </c>
      <c r="C9" s="30">
        <v>66000</v>
      </c>
      <c r="D9" s="30" t="s">
        <v>18</v>
      </c>
      <c r="E9" s="30"/>
      <c r="F9" s="31">
        <v>70</v>
      </c>
      <c r="G9" s="31">
        <f>C9*F9</f>
        <v>4620000</v>
      </c>
      <c r="I9" s="4">
        <v>1</v>
      </c>
      <c r="J9" s="30" t="s">
        <v>17</v>
      </c>
      <c r="K9" s="30">
        <v>66000</v>
      </c>
      <c r="L9" s="30" t="s">
        <v>18</v>
      </c>
      <c r="M9" s="30"/>
      <c r="N9" s="31">
        <v>70</v>
      </c>
      <c r="O9" s="31">
        <f>K9*N9</f>
        <v>4620000</v>
      </c>
      <c r="Q9" s="4">
        <v>1</v>
      </c>
      <c r="R9" s="30" t="s">
        <v>17</v>
      </c>
      <c r="S9" s="30">
        <v>66000</v>
      </c>
      <c r="T9" s="30" t="s">
        <v>18</v>
      </c>
      <c r="U9" s="30"/>
      <c r="V9" s="31">
        <v>70</v>
      </c>
      <c r="W9" s="31">
        <f>S9*V9</f>
        <v>4620000</v>
      </c>
      <c r="Y9" s="4">
        <v>1</v>
      </c>
      <c r="Z9" s="30" t="s">
        <v>17</v>
      </c>
      <c r="AA9" s="30">
        <v>66000</v>
      </c>
      <c r="AB9" s="30" t="s">
        <v>18</v>
      </c>
      <c r="AC9" s="30"/>
      <c r="AD9" s="31">
        <v>70</v>
      </c>
      <c r="AE9" s="31">
        <f>AA9*AD9</f>
        <v>4620000</v>
      </c>
      <c r="AG9" s="4">
        <v>1</v>
      </c>
      <c r="AH9" s="30" t="s">
        <v>17</v>
      </c>
      <c r="AI9" s="30">
        <v>66000</v>
      </c>
      <c r="AJ9" s="30" t="s">
        <v>18</v>
      </c>
      <c r="AK9" s="30"/>
      <c r="AL9" s="31">
        <v>70</v>
      </c>
      <c r="AM9" s="31">
        <f>AI9*AL9</f>
        <v>4620000</v>
      </c>
    </row>
    <row r="10" spans="1:39" x14ac:dyDescent="0.45">
      <c r="A10" s="4">
        <v>2</v>
      </c>
      <c r="B10" s="30" t="s">
        <v>19</v>
      </c>
      <c r="C10" s="30">
        <v>66000</v>
      </c>
      <c r="D10" s="30" t="s">
        <v>18</v>
      </c>
      <c r="E10" s="30"/>
      <c r="F10" s="31">
        <v>70</v>
      </c>
      <c r="G10" s="31">
        <f>C10*F10</f>
        <v>4620000</v>
      </c>
      <c r="I10" s="4">
        <v>2</v>
      </c>
      <c r="J10" s="30" t="s">
        <v>19</v>
      </c>
      <c r="K10" s="30">
        <v>66000</v>
      </c>
      <c r="L10" s="30" t="s">
        <v>18</v>
      </c>
      <c r="M10" s="30"/>
      <c r="N10" s="31">
        <v>70</v>
      </c>
      <c r="O10" s="31">
        <f>K10*N10</f>
        <v>4620000</v>
      </c>
      <c r="Q10" s="4">
        <v>2</v>
      </c>
      <c r="R10" s="30" t="s">
        <v>19</v>
      </c>
      <c r="S10" s="30">
        <v>66000</v>
      </c>
      <c r="T10" s="30" t="s">
        <v>18</v>
      </c>
      <c r="U10" s="30"/>
      <c r="V10" s="31">
        <v>70</v>
      </c>
      <c r="W10" s="31">
        <f>S10*V10</f>
        <v>4620000</v>
      </c>
      <c r="Y10" s="4">
        <v>2</v>
      </c>
      <c r="Z10" s="30" t="s">
        <v>19</v>
      </c>
      <c r="AA10" s="30">
        <v>66000</v>
      </c>
      <c r="AB10" s="30" t="s">
        <v>18</v>
      </c>
      <c r="AC10" s="30"/>
      <c r="AD10" s="31">
        <v>70</v>
      </c>
      <c r="AE10" s="31">
        <f>AA10*AD10</f>
        <v>4620000</v>
      </c>
      <c r="AG10" s="4">
        <v>2</v>
      </c>
      <c r="AH10" s="30" t="s">
        <v>19</v>
      </c>
      <c r="AI10" s="30">
        <v>66000</v>
      </c>
      <c r="AJ10" s="30" t="s">
        <v>18</v>
      </c>
      <c r="AK10" s="30"/>
      <c r="AL10" s="31">
        <v>70</v>
      </c>
      <c r="AM10" s="31">
        <f>AI10*AL10</f>
        <v>4620000</v>
      </c>
    </row>
    <row r="11" spans="1:39" x14ac:dyDescent="0.45">
      <c r="A11" s="4">
        <v>3</v>
      </c>
      <c r="B11" s="30" t="s">
        <v>20</v>
      </c>
      <c r="C11" s="30">
        <v>1</v>
      </c>
      <c r="D11" s="30" t="s">
        <v>16</v>
      </c>
      <c r="E11" s="30"/>
      <c r="F11" s="31">
        <v>5648000</v>
      </c>
      <c r="G11" s="31">
        <f>C11*F11</f>
        <v>5648000</v>
      </c>
      <c r="I11" s="4">
        <v>3</v>
      </c>
      <c r="J11" s="30" t="s">
        <v>20</v>
      </c>
      <c r="K11" s="30">
        <v>1</v>
      </c>
      <c r="L11" s="30" t="s">
        <v>16</v>
      </c>
      <c r="M11" s="30"/>
      <c r="N11" s="36">
        <v>6148000</v>
      </c>
      <c r="O11" s="31">
        <f>K11*N11</f>
        <v>6148000</v>
      </c>
      <c r="Q11" s="4">
        <v>3</v>
      </c>
      <c r="R11" s="30" t="s">
        <v>20</v>
      </c>
      <c r="S11" s="30">
        <v>1</v>
      </c>
      <c r="T11" s="30" t="s">
        <v>16</v>
      </c>
      <c r="U11" s="30"/>
      <c r="V11" s="36">
        <v>6148000</v>
      </c>
      <c r="W11" s="31">
        <f>S11*V11</f>
        <v>6148000</v>
      </c>
      <c r="Y11" s="4">
        <v>3</v>
      </c>
      <c r="Z11" s="30" t="s">
        <v>20</v>
      </c>
      <c r="AA11" s="30">
        <v>1</v>
      </c>
      <c r="AB11" s="30" t="s">
        <v>16</v>
      </c>
      <c r="AC11" s="30"/>
      <c r="AD11" s="36">
        <v>6148000</v>
      </c>
      <c r="AE11" s="31">
        <f>AA11*AD11</f>
        <v>6148000</v>
      </c>
      <c r="AG11" s="4">
        <v>3</v>
      </c>
      <c r="AH11" s="30" t="s">
        <v>20</v>
      </c>
      <c r="AI11" s="30">
        <v>1</v>
      </c>
      <c r="AJ11" s="30" t="s">
        <v>16</v>
      </c>
      <c r="AK11" s="30"/>
      <c r="AL11" s="36">
        <v>6648000</v>
      </c>
      <c r="AM11" s="31">
        <f>AI11*AL11</f>
        <v>6648000</v>
      </c>
    </row>
    <row r="12" spans="1:39" x14ac:dyDescent="0.45">
      <c r="A12" s="4"/>
      <c r="B12" s="30"/>
      <c r="C12" s="30"/>
      <c r="D12" s="30"/>
      <c r="E12" s="30"/>
      <c r="F12" s="31"/>
      <c r="G12" s="31"/>
      <c r="I12" s="4"/>
      <c r="J12" s="30"/>
      <c r="K12" s="30"/>
      <c r="L12" s="30"/>
      <c r="M12" s="30"/>
      <c r="N12" s="31"/>
      <c r="O12" s="31"/>
      <c r="Q12" s="4"/>
      <c r="R12" s="30"/>
      <c r="S12" s="30"/>
      <c r="T12" s="30"/>
      <c r="U12" s="30"/>
      <c r="V12" s="31"/>
      <c r="W12" s="31"/>
      <c r="Y12" s="4"/>
      <c r="Z12" s="30"/>
      <c r="AA12" s="30"/>
      <c r="AB12" s="30"/>
      <c r="AC12" s="30"/>
      <c r="AD12" s="31"/>
      <c r="AE12" s="31"/>
      <c r="AG12" s="4"/>
      <c r="AH12" s="30"/>
      <c r="AI12" s="30"/>
      <c r="AJ12" s="30"/>
      <c r="AK12" s="30"/>
      <c r="AL12" s="31"/>
      <c r="AM12" s="31"/>
    </row>
    <row r="13" spans="1:39" x14ac:dyDescent="0.45">
      <c r="A13" s="27" t="s">
        <v>21</v>
      </c>
      <c r="B13" s="28" t="s">
        <v>22</v>
      </c>
      <c r="C13" s="32">
        <v>1</v>
      </c>
      <c r="D13" s="32" t="s">
        <v>23</v>
      </c>
      <c r="E13" s="32"/>
      <c r="F13" s="33"/>
      <c r="G13" s="29">
        <f>SUM(G14:G18)</f>
        <v>15600000</v>
      </c>
      <c r="I13" s="27" t="s">
        <v>21</v>
      </c>
      <c r="J13" s="28" t="s">
        <v>22</v>
      </c>
      <c r="K13" s="32">
        <v>1</v>
      </c>
      <c r="L13" s="32" t="s">
        <v>23</v>
      </c>
      <c r="M13" s="32"/>
      <c r="N13" s="33"/>
      <c r="O13" s="29">
        <f>SUM(O14:O18)</f>
        <v>17160000.000000004</v>
      </c>
      <c r="Q13" s="27" t="s">
        <v>21</v>
      </c>
      <c r="R13" s="28" t="s">
        <v>22</v>
      </c>
      <c r="S13" s="32">
        <v>1</v>
      </c>
      <c r="T13" s="32" t="s">
        <v>23</v>
      </c>
      <c r="U13" s="32"/>
      <c r="V13" s="33"/>
      <c r="W13" s="29">
        <f>SUM(W14:W18)</f>
        <v>17160000.000000004</v>
      </c>
      <c r="Y13" s="27" t="s">
        <v>21</v>
      </c>
      <c r="Z13" s="28" t="s">
        <v>22</v>
      </c>
      <c r="AA13" s="32">
        <v>1</v>
      </c>
      <c r="AB13" s="32" t="s">
        <v>23</v>
      </c>
      <c r="AC13" s="32"/>
      <c r="AD13" s="33"/>
      <c r="AE13" s="29">
        <f>SUM(AE14:AE18)</f>
        <v>17940000</v>
      </c>
      <c r="AG13" s="27" t="s">
        <v>21</v>
      </c>
      <c r="AH13" s="28" t="s">
        <v>22</v>
      </c>
      <c r="AI13" s="32">
        <v>1</v>
      </c>
      <c r="AJ13" s="32" t="s">
        <v>23</v>
      </c>
      <c r="AK13" s="32"/>
      <c r="AL13" s="33"/>
      <c r="AM13" s="29">
        <f>SUM(AM14:AM18)</f>
        <v>17940000</v>
      </c>
    </row>
    <row r="14" spans="1:39" ht="26.25" x14ac:dyDescent="0.45">
      <c r="A14" s="4">
        <v>1</v>
      </c>
      <c r="B14" s="34" t="s">
        <v>92</v>
      </c>
      <c r="C14" s="35">
        <v>1</v>
      </c>
      <c r="D14" s="35" t="s">
        <v>23</v>
      </c>
      <c r="E14" s="35" t="s">
        <v>25</v>
      </c>
      <c r="F14" s="36">
        <v>6500000</v>
      </c>
      <c r="G14" s="31">
        <f>C14*F14</f>
        <v>6500000</v>
      </c>
      <c r="I14" s="4">
        <v>1</v>
      </c>
      <c r="J14" s="34" t="s">
        <v>92</v>
      </c>
      <c r="K14" s="35">
        <v>1</v>
      </c>
      <c r="L14" s="35" t="s">
        <v>23</v>
      </c>
      <c r="M14" s="35" t="s">
        <v>25</v>
      </c>
      <c r="N14" s="36">
        <f>F14*$M$5</f>
        <v>7150000.0000000009</v>
      </c>
      <c r="O14" s="31">
        <f>K14*N14</f>
        <v>7150000.0000000009</v>
      </c>
      <c r="Q14" s="4">
        <v>1</v>
      </c>
      <c r="R14" s="34" t="s">
        <v>92</v>
      </c>
      <c r="S14" s="35">
        <v>1</v>
      </c>
      <c r="T14" s="35" t="s">
        <v>23</v>
      </c>
      <c r="U14" s="35" t="s">
        <v>25</v>
      </c>
      <c r="V14" s="36">
        <f>F14*$U$5</f>
        <v>7150000.0000000009</v>
      </c>
      <c r="W14" s="31">
        <f>S14*V14</f>
        <v>7150000.0000000009</v>
      </c>
      <c r="Y14" s="4">
        <v>1</v>
      </c>
      <c r="Z14" s="34" t="s">
        <v>92</v>
      </c>
      <c r="AA14" s="35">
        <v>1</v>
      </c>
      <c r="AB14" s="35" t="s">
        <v>23</v>
      </c>
      <c r="AC14" s="35" t="s">
        <v>25</v>
      </c>
      <c r="AD14" s="36">
        <f>F14*$AC$5</f>
        <v>7474999.9999999991</v>
      </c>
      <c r="AE14" s="31">
        <f>AA14*AD14</f>
        <v>7474999.9999999991</v>
      </c>
      <c r="AG14" s="4">
        <v>1</v>
      </c>
      <c r="AH14" s="34" t="s">
        <v>92</v>
      </c>
      <c r="AI14" s="35">
        <v>1</v>
      </c>
      <c r="AJ14" s="35" t="s">
        <v>23</v>
      </c>
      <c r="AK14" s="35" t="s">
        <v>25</v>
      </c>
      <c r="AL14" s="36">
        <f>F14*$AK$5</f>
        <v>7474999.9999999991</v>
      </c>
      <c r="AM14" s="31">
        <f>AI14*AL14</f>
        <v>7474999.9999999991</v>
      </c>
    </row>
    <row r="15" spans="1:39" x14ac:dyDescent="0.45">
      <c r="A15" s="4">
        <v>2</v>
      </c>
      <c r="B15" s="30" t="s">
        <v>26</v>
      </c>
      <c r="C15" s="35">
        <v>1</v>
      </c>
      <c r="D15" s="35" t="s">
        <v>23</v>
      </c>
      <c r="E15" s="35" t="s">
        <v>25</v>
      </c>
      <c r="F15" s="31">
        <v>1000000</v>
      </c>
      <c r="G15" s="31">
        <f>C15*F15</f>
        <v>1000000</v>
      </c>
      <c r="I15" s="4">
        <v>2</v>
      </c>
      <c r="J15" s="30" t="s">
        <v>26</v>
      </c>
      <c r="K15" s="35">
        <v>1</v>
      </c>
      <c r="L15" s="35" t="s">
        <v>23</v>
      </c>
      <c r="M15" s="35" t="s">
        <v>25</v>
      </c>
      <c r="N15" s="36">
        <f>F15*$M$5</f>
        <v>1100000</v>
      </c>
      <c r="O15" s="31">
        <f>K15*N15</f>
        <v>1100000</v>
      </c>
      <c r="Q15" s="4">
        <v>2</v>
      </c>
      <c r="R15" s="30" t="s">
        <v>26</v>
      </c>
      <c r="S15" s="35">
        <v>1</v>
      </c>
      <c r="T15" s="35" t="s">
        <v>23</v>
      </c>
      <c r="U15" s="35" t="s">
        <v>25</v>
      </c>
      <c r="V15" s="36">
        <f>F15*$U$5</f>
        <v>1100000</v>
      </c>
      <c r="W15" s="31">
        <f>S15*V15</f>
        <v>1100000</v>
      </c>
      <c r="Y15" s="4">
        <v>2</v>
      </c>
      <c r="Z15" s="30" t="s">
        <v>26</v>
      </c>
      <c r="AA15" s="35">
        <v>1</v>
      </c>
      <c r="AB15" s="35" t="s">
        <v>23</v>
      </c>
      <c r="AC15" s="35" t="s">
        <v>25</v>
      </c>
      <c r="AD15" s="36">
        <f>F15*$AC$5</f>
        <v>1150000</v>
      </c>
      <c r="AE15" s="31">
        <f>AA15*AD15</f>
        <v>1150000</v>
      </c>
      <c r="AG15" s="4">
        <v>2</v>
      </c>
      <c r="AH15" s="30" t="s">
        <v>26</v>
      </c>
      <c r="AI15" s="35">
        <v>1</v>
      </c>
      <c r="AJ15" s="35" t="s">
        <v>23</v>
      </c>
      <c r="AK15" s="35" t="s">
        <v>25</v>
      </c>
      <c r="AL15" s="36">
        <f>F15*$AK$5</f>
        <v>1150000</v>
      </c>
      <c r="AM15" s="31">
        <f>AI15*AL15</f>
        <v>1150000</v>
      </c>
    </row>
    <row r="16" spans="1:39" x14ac:dyDescent="0.45">
      <c r="A16" s="4">
        <v>3</v>
      </c>
      <c r="B16" s="35" t="s">
        <v>93</v>
      </c>
      <c r="C16" s="35">
        <v>1</v>
      </c>
      <c r="D16" s="35" t="s">
        <v>23</v>
      </c>
      <c r="E16" s="35" t="s">
        <v>25</v>
      </c>
      <c r="F16" s="36">
        <v>6000000</v>
      </c>
      <c r="G16" s="31">
        <f>C16*F16</f>
        <v>6000000</v>
      </c>
      <c r="I16" s="4">
        <v>3</v>
      </c>
      <c r="J16" s="35" t="s">
        <v>93</v>
      </c>
      <c r="K16" s="35">
        <v>1</v>
      </c>
      <c r="L16" s="35" t="s">
        <v>23</v>
      </c>
      <c r="M16" s="35" t="s">
        <v>25</v>
      </c>
      <c r="N16" s="36">
        <f>F16*$M$5</f>
        <v>6600000.0000000009</v>
      </c>
      <c r="O16" s="31">
        <f>K16*N16</f>
        <v>6600000.0000000009</v>
      </c>
      <c r="Q16" s="4">
        <v>3</v>
      </c>
      <c r="R16" s="35" t="s">
        <v>93</v>
      </c>
      <c r="S16" s="35">
        <v>1</v>
      </c>
      <c r="T16" s="35" t="s">
        <v>23</v>
      </c>
      <c r="U16" s="35" t="s">
        <v>25</v>
      </c>
      <c r="V16" s="36">
        <f>F16*$U$5</f>
        <v>6600000.0000000009</v>
      </c>
      <c r="W16" s="31">
        <f>S16*V16</f>
        <v>6600000.0000000009</v>
      </c>
      <c r="Y16" s="4">
        <v>3</v>
      </c>
      <c r="Z16" s="35" t="s">
        <v>93</v>
      </c>
      <c r="AA16" s="35">
        <v>1</v>
      </c>
      <c r="AB16" s="35" t="s">
        <v>23</v>
      </c>
      <c r="AC16" s="35" t="s">
        <v>25</v>
      </c>
      <c r="AD16" s="36">
        <f>F16*$AC$5</f>
        <v>6899999.9999999991</v>
      </c>
      <c r="AE16" s="31">
        <f>AA16*AD16</f>
        <v>6899999.9999999991</v>
      </c>
      <c r="AG16" s="4">
        <v>3</v>
      </c>
      <c r="AH16" s="35" t="s">
        <v>93</v>
      </c>
      <c r="AI16" s="35">
        <v>1</v>
      </c>
      <c r="AJ16" s="35" t="s">
        <v>23</v>
      </c>
      <c r="AK16" s="35" t="s">
        <v>25</v>
      </c>
      <c r="AL16" s="36">
        <f>F16*$AK$5</f>
        <v>6899999.9999999991</v>
      </c>
      <c r="AM16" s="31">
        <f>AI16*AL16</f>
        <v>6899999.9999999991</v>
      </c>
    </row>
    <row r="17" spans="1:39" x14ac:dyDescent="0.45">
      <c r="A17" s="4">
        <v>4</v>
      </c>
      <c r="B17" s="35" t="s">
        <v>28</v>
      </c>
      <c r="C17" s="35">
        <v>1</v>
      </c>
      <c r="D17" s="35" t="s">
        <v>23</v>
      </c>
      <c r="E17" s="35" t="s">
        <v>25</v>
      </c>
      <c r="F17" s="36">
        <v>1500000</v>
      </c>
      <c r="G17" s="31">
        <f t="shared" ref="G17:G18" si="0">C17*F17</f>
        <v>1500000</v>
      </c>
      <c r="I17" s="4">
        <v>4</v>
      </c>
      <c r="J17" s="35" t="s">
        <v>28</v>
      </c>
      <c r="K17" s="35">
        <v>1</v>
      </c>
      <c r="L17" s="35" t="s">
        <v>23</v>
      </c>
      <c r="M17" s="35" t="s">
        <v>25</v>
      </c>
      <c r="N17" s="36">
        <f>F17*$M$5</f>
        <v>1650000.0000000002</v>
      </c>
      <c r="O17" s="31">
        <f t="shared" ref="O17:O18" si="1">K17*N17</f>
        <v>1650000.0000000002</v>
      </c>
      <c r="Q17" s="4">
        <v>4</v>
      </c>
      <c r="R17" s="35" t="s">
        <v>28</v>
      </c>
      <c r="S17" s="35">
        <v>1</v>
      </c>
      <c r="T17" s="35" t="s">
        <v>23</v>
      </c>
      <c r="U17" s="35" t="s">
        <v>25</v>
      </c>
      <c r="V17" s="36">
        <f>F17*$U$5</f>
        <v>1650000.0000000002</v>
      </c>
      <c r="W17" s="31">
        <f t="shared" ref="W17:W18" si="2">S17*V17</f>
        <v>1650000.0000000002</v>
      </c>
      <c r="Y17" s="4">
        <v>4</v>
      </c>
      <c r="Z17" s="35" t="s">
        <v>28</v>
      </c>
      <c r="AA17" s="35">
        <v>1</v>
      </c>
      <c r="AB17" s="35" t="s">
        <v>23</v>
      </c>
      <c r="AC17" s="35" t="s">
        <v>25</v>
      </c>
      <c r="AD17" s="36">
        <f>F17*$AC$5</f>
        <v>1724999.9999999998</v>
      </c>
      <c r="AE17" s="31">
        <f t="shared" ref="AE17:AE18" si="3">AA17*AD17</f>
        <v>1724999.9999999998</v>
      </c>
      <c r="AG17" s="4">
        <v>4</v>
      </c>
      <c r="AH17" s="35" t="s">
        <v>28</v>
      </c>
      <c r="AI17" s="35">
        <v>1</v>
      </c>
      <c r="AJ17" s="35" t="s">
        <v>23</v>
      </c>
      <c r="AK17" s="35" t="s">
        <v>25</v>
      </c>
      <c r="AL17" s="36">
        <f>F17*$AK$5</f>
        <v>1724999.9999999998</v>
      </c>
      <c r="AM17" s="31">
        <f t="shared" ref="AM17:AM18" si="4">AI17*AL17</f>
        <v>1724999.9999999998</v>
      </c>
    </row>
    <row r="18" spans="1:39" x14ac:dyDescent="0.45">
      <c r="A18" s="4">
        <v>5</v>
      </c>
      <c r="B18" s="35" t="s">
        <v>30</v>
      </c>
      <c r="C18" s="35">
        <v>6</v>
      </c>
      <c r="D18" s="35" t="s">
        <v>23</v>
      </c>
      <c r="E18" s="35" t="s">
        <v>25</v>
      </c>
      <c r="F18" s="36">
        <v>100000</v>
      </c>
      <c r="G18" s="31">
        <f t="shared" si="0"/>
        <v>600000</v>
      </c>
      <c r="I18" s="4">
        <v>5</v>
      </c>
      <c r="J18" s="35" t="s">
        <v>30</v>
      </c>
      <c r="K18" s="35">
        <v>6</v>
      </c>
      <c r="L18" s="35" t="s">
        <v>23</v>
      </c>
      <c r="M18" s="35" t="s">
        <v>25</v>
      </c>
      <c r="N18" s="36">
        <f>F18*$M$5</f>
        <v>110000.00000000001</v>
      </c>
      <c r="O18" s="31">
        <f t="shared" si="1"/>
        <v>660000.00000000012</v>
      </c>
      <c r="Q18" s="4">
        <v>5</v>
      </c>
      <c r="R18" s="35" t="s">
        <v>30</v>
      </c>
      <c r="S18" s="35">
        <v>6</v>
      </c>
      <c r="T18" s="35" t="s">
        <v>23</v>
      </c>
      <c r="U18" s="35" t="s">
        <v>25</v>
      </c>
      <c r="V18" s="36">
        <f>F18*$U$5</f>
        <v>110000.00000000001</v>
      </c>
      <c r="W18" s="31">
        <f t="shared" si="2"/>
        <v>660000.00000000012</v>
      </c>
      <c r="Y18" s="4">
        <v>5</v>
      </c>
      <c r="Z18" s="35" t="s">
        <v>30</v>
      </c>
      <c r="AA18" s="35">
        <v>6</v>
      </c>
      <c r="AB18" s="35" t="s">
        <v>23</v>
      </c>
      <c r="AC18" s="35" t="s">
        <v>25</v>
      </c>
      <c r="AD18" s="36">
        <f>F18*$AC$5</f>
        <v>114999.99999999999</v>
      </c>
      <c r="AE18" s="31">
        <f t="shared" si="3"/>
        <v>689999.99999999988</v>
      </c>
      <c r="AG18" s="4">
        <v>5</v>
      </c>
      <c r="AH18" s="35" t="s">
        <v>30</v>
      </c>
      <c r="AI18" s="35">
        <v>6</v>
      </c>
      <c r="AJ18" s="35" t="s">
        <v>23</v>
      </c>
      <c r="AK18" s="35" t="s">
        <v>25</v>
      </c>
      <c r="AL18" s="36">
        <f>F18*$AK$5</f>
        <v>114999.99999999999</v>
      </c>
      <c r="AM18" s="31">
        <f t="shared" si="4"/>
        <v>689999.99999999988</v>
      </c>
    </row>
    <row r="19" spans="1:39" x14ac:dyDescent="0.45">
      <c r="A19" s="4"/>
      <c r="B19" s="30"/>
      <c r="C19" s="35"/>
      <c r="D19" s="35"/>
      <c r="E19" s="35"/>
      <c r="F19" s="31"/>
      <c r="G19" s="31"/>
      <c r="I19" s="4"/>
      <c r="J19" s="30"/>
      <c r="K19" s="35"/>
      <c r="L19" s="35"/>
      <c r="M19" s="35"/>
      <c r="N19" s="31"/>
      <c r="O19" s="31"/>
      <c r="Q19" s="4"/>
      <c r="R19" s="30"/>
      <c r="S19" s="35"/>
      <c r="T19" s="35"/>
      <c r="U19" s="35"/>
      <c r="V19" s="31"/>
      <c r="W19" s="31"/>
      <c r="Y19" s="4"/>
      <c r="Z19" s="30"/>
      <c r="AA19" s="35"/>
      <c r="AB19" s="35"/>
      <c r="AC19" s="35"/>
      <c r="AD19" s="31"/>
      <c r="AE19" s="31"/>
      <c r="AG19" s="4"/>
      <c r="AH19" s="30"/>
      <c r="AI19" s="35"/>
      <c r="AJ19" s="35"/>
      <c r="AK19" s="35"/>
      <c r="AL19" s="31"/>
      <c r="AM19" s="31"/>
    </row>
    <row r="20" spans="1:39" x14ac:dyDescent="0.45">
      <c r="A20" s="27" t="s">
        <v>31</v>
      </c>
      <c r="B20" s="28" t="s">
        <v>32</v>
      </c>
      <c r="C20" s="32"/>
      <c r="D20" s="32"/>
      <c r="E20" s="32"/>
      <c r="F20" s="33"/>
      <c r="G20" s="29">
        <f>SUM(G21:G24)</f>
        <v>7200000</v>
      </c>
      <c r="I20" s="27" t="s">
        <v>31</v>
      </c>
      <c r="J20" s="28" t="s">
        <v>32</v>
      </c>
      <c r="K20" s="32"/>
      <c r="L20" s="32"/>
      <c r="M20" s="32"/>
      <c r="N20" s="33"/>
      <c r="O20" s="29">
        <f>SUM(O21:O24)</f>
        <v>7920000</v>
      </c>
      <c r="Q20" s="27" t="s">
        <v>31</v>
      </c>
      <c r="R20" s="28" t="s">
        <v>32</v>
      </c>
      <c r="S20" s="32"/>
      <c r="T20" s="32"/>
      <c r="U20" s="32"/>
      <c r="V20" s="33"/>
      <c r="W20" s="29">
        <f>SUM(W21:W24)</f>
        <v>7920000</v>
      </c>
      <c r="Y20" s="27" t="s">
        <v>31</v>
      </c>
      <c r="Z20" s="28" t="s">
        <v>32</v>
      </c>
      <c r="AA20" s="32"/>
      <c r="AB20" s="32"/>
      <c r="AC20" s="32"/>
      <c r="AD20" s="33"/>
      <c r="AE20" s="29">
        <f>SUM(AE21:AE24)</f>
        <v>8280000</v>
      </c>
      <c r="AG20" s="27" t="s">
        <v>31</v>
      </c>
      <c r="AH20" s="28" t="s">
        <v>32</v>
      </c>
      <c r="AI20" s="32"/>
      <c r="AJ20" s="32"/>
      <c r="AK20" s="32"/>
      <c r="AL20" s="33"/>
      <c r="AM20" s="29">
        <f>SUM(AM21:AM24)</f>
        <v>8280000</v>
      </c>
    </row>
    <row r="21" spans="1:39" x14ac:dyDescent="0.45">
      <c r="A21" s="4">
        <v>1</v>
      </c>
      <c r="B21" s="35" t="s">
        <v>33</v>
      </c>
      <c r="C21" s="35">
        <v>2</v>
      </c>
      <c r="D21" s="35" t="s">
        <v>23</v>
      </c>
      <c r="E21" s="35" t="s">
        <v>25</v>
      </c>
      <c r="F21" s="36">
        <v>2000000</v>
      </c>
      <c r="G21" s="31">
        <f>C21*F21</f>
        <v>4000000</v>
      </c>
      <c r="I21" s="4">
        <v>1</v>
      </c>
      <c r="J21" s="35" t="s">
        <v>33</v>
      </c>
      <c r="K21" s="35">
        <v>2</v>
      </c>
      <c r="L21" s="35" t="s">
        <v>23</v>
      </c>
      <c r="M21" s="35" t="s">
        <v>25</v>
      </c>
      <c r="N21" s="36">
        <f>F21*$M$5</f>
        <v>2200000</v>
      </c>
      <c r="O21" s="31">
        <f>K21*N21</f>
        <v>4400000</v>
      </c>
      <c r="Q21" s="4">
        <v>1</v>
      </c>
      <c r="R21" s="35" t="s">
        <v>33</v>
      </c>
      <c r="S21" s="35">
        <v>2</v>
      </c>
      <c r="T21" s="35" t="s">
        <v>23</v>
      </c>
      <c r="U21" s="35" t="s">
        <v>25</v>
      </c>
      <c r="V21" s="36">
        <f>F21*$U$5</f>
        <v>2200000</v>
      </c>
      <c r="W21" s="31">
        <f>S21*V21</f>
        <v>4400000</v>
      </c>
      <c r="Y21" s="4">
        <v>1</v>
      </c>
      <c r="Z21" s="35" t="s">
        <v>33</v>
      </c>
      <c r="AA21" s="35">
        <v>2</v>
      </c>
      <c r="AB21" s="35" t="s">
        <v>23</v>
      </c>
      <c r="AC21" s="35" t="s">
        <v>25</v>
      </c>
      <c r="AD21" s="36">
        <f>F21*$AC$5</f>
        <v>2300000</v>
      </c>
      <c r="AE21" s="31">
        <f>AA21*AD21</f>
        <v>4600000</v>
      </c>
      <c r="AG21" s="4">
        <v>1</v>
      </c>
      <c r="AH21" s="35" t="s">
        <v>33</v>
      </c>
      <c r="AI21" s="35">
        <v>2</v>
      </c>
      <c r="AJ21" s="35" t="s">
        <v>23</v>
      </c>
      <c r="AK21" s="35" t="s">
        <v>25</v>
      </c>
      <c r="AL21" s="36">
        <f>F21*$AK$5</f>
        <v>2300000</v>
      </c>
      <c r="AM21" s="31">
        <f>AI21*AL21</f>
        <v>4600000</v>
      </c>
    </row>
    <row r="22" spans="1:39" x14ac:dyDescent="0.45">
      <c r="A22" s="4">
        <v>2</v>
      </c>
      <c r="B22" s="37" t="s">
        <v>34</v>
      </c>
      <c r="C22" s="35">
        <v>4</v>
      </c>
      <c r="D22" s="35" t="s">
        <v>35</v>
      </c>
      <c r="E22" s="35" t="s">
        <v>36</v>
      </c>
      <c r="F22" s="36">
        <v>250000</v>
      </c>
      <c r="G22" s="31">
        <f>C22*F22</f>
        <v>1000000</v>
      </c>
      <c r="I22" s="4">
        <v>2</v>
      </c>
      <c r="J22" s="37" t="s">
        <v>34</v>
      </c>
      <c r="K22" s="35">
        <v>4</v>
      </c>
      <c r="L22" s="35" t="s">
        <v>35</v>
      </c>
      <c r="M22" s="35" t="s">
        <v>36</v>
      </c>
      <c r="N22" s="36">
        <f>F22*$M$5</f>
        <v>275000</v>
      </c>
      <c r="O22" s="31">
        <f>K22*N22</f>
        <v>1100000</v>
      </c>
      <c r="Q22" s="4">
        <v>2</v>
      </c>
      <c r="R22" s="37" t="s">
        <v>34</v>
      </c>
      <c r="S22" s="35">
        <v>4</v>
      </c>
      <c r="T22" s="35" t="s">
        <v>35</v>
      </c>
      <c r="U22" s="35" t="s">
        <v>36</v>
      </c>
      <c r="V22" s="36">
        <f>F22*$U$5</f>
        <v>275000</v>
      </c>
      <c r="W22" s="31">
        <f>S22*V22</f>
        <v>1100000</v>
      </c>
      <c r="Y22" s="4">
        <v>2</v>
      </c>
      <c r="Z22" s="37" t="s">
        <v>34</v>
      </c>
      <c r="AA22" s="35">
        <v>4</v>
      </c>
      <c r="AB22" s="35" t="s">
        <v>35</v>
      </c>
      <c r="AC22" s="35" t="s">
        <v>36</v>
      </c>
      <c r="AD22" s="36">
        <f>F22*$AC$5</f>
        <v>287500</v>
      </c>
      <c r="AE22" s="31">
        <f>AA22*AD22</f>
        <v>1150000</v>
      </c>
      <c r="AG22" s="4">
        <v>2</v>
      </c>
      <c r="AH22" s="37" t="s">
        <v>34</v>
      </c>
      <c r="AI22" s="35">
        <v>4</v>
      </c>
      <c r="AJ22" s="35" t="s">
        <v>35</v>
      </c>
      <c r="AK22" s="35" t="s">
        <v>36</v>
      </c>
      <c r="AL22" s="36">
        <f>F22*$AK$5</f>
        <v>287500</v>
      </c>
      <c r="AM22" s="31">
        <f>AI22*AL22</f>
        <v>1150000</v>
      </c>
    </row>
    <row r="23" spans="1:39" x14ac:dyDescent="0.45">
      <c r="A23" s="4">
        <v>3</v>
      </c>
      <c r="B23" s="5" t="s">
        <v>37</v>
      </c>
      <c r="C23" s="6">
        <v>1</v>
      </c>
      <c r="D23" s="7" t="s">
        <v>38</v>
      </c>
      <c r="E23" s="9" t="s">
        <v>39</v>
      </c>
      <c r="F23" s="8">
        <v>1300000</v>
      </c>
      <c r="G23" s="31">
        <f>C23*F23</f>
        <v>1300000</v>
      </c>
      <c r="I23" s="4">
        <v>3</v>
      </c>
      <c r="J23" s="5" t="s">
        <v>37</v>
      </c>
      <c r="K23" s="6">
        <v>1</v>
      </c>
      <c r="L23" s="7" t="s">
        <v>38</v>
      </c>
      <c r="M23" s="9" t="s">
        <v>39</v>
      </c>
      <c r="N23" s="36">
        <f>F23*$M$5</f>
        <v>1430000</v>
      </c>
      <c r="O23" s="31">
        <f>K23*N23</f>
        <v>1430000</v>
      </c>
      <c r="Q23" s="4">
        <v>3</v>
      </c>
      <c r="R23" s="5" t="s">
        <v>37</v>
      </c>
      <c r="S23" s="6">
        <v>1</v>
      </c>
      <c r="T23" s="7" t="s">
        <v>38</v>
      </c>
      <c r="U23" s="9" t="s">
        <v>39</v>
      </c>
      <c r="V23" s="36">
        <f>F23*$U$5</f>
        <v>1430000</v>
      </c>
      <c r="W23" s="31">
        <f>S23*V23</f>
        <v>1430000</v>
      </c>
      <c r="Y23" s="4">
        <v>3</v>
      </c>
      <c r="Z23" s="5" t="s">
        <v>37</v>
      </c>
      <c r="AA23" s="6">
        <v>1</v>
      </c>
      <c r="AB23" s="7" t="s">
        <v>38</v>
      </c>
      <c r="AC23" s="9" t="s">
        <v>39</v>
      </c>
      <c r="AD23" s="36">
        <f>F23*$AC$5</f>
        <v>1495000</v>
      </c>
      <c r="AE23" s="31">
        <f>AA23*AD23</f>
        <v>1495000</v>
      </c>
      <c r="AG23" s="4">
        <v>3</v>
      </c>
      <c r="AH23" s="5" t="s">
        <v>37</v>
      </c>
      <c r="AI23" s="6">
        <v>1</v>
      </c>
      <c r="AJ23" s="7" t="s">
        <v>38</v>
      </c>
      <c r="AK23" s="9" t="s">
        <v>39</v>
      </c>
      <c r="AL23" s="36">
        <f>F23*$AK$5</f>
        <v>1495000</v>
      </c>
      <c r="AM23" s="31">
        <f>AI23*AL23</f>
        <v>1495000</v>
      </c>
    </row>
    <row r="24" spans="1:39" x14ac:dyDescent="0.45">
      <c r="A24" s="4">
        <v>4</v>
      </c>
      <c r="B24" s="11" t="s">
        <v>40</v>
      </c>
      <c r="C24" s="12">
        <v>1</v>
      </c>
      <c r="D24" s="13" t="s">
        <v>41</v>
      </c>
      <c r="E24" s="14" t="s">
        <v>25</v>
      </c>
      <c r="F24" s="15">
        <v>900000</v>
      </c>
      <c r="G24" s="31">
        <f>C24*F24</f>
        <v>900000</v>
      </c>
      <c r="I24" s="4">
        <v>4</v>
      </c>
      <c r="J24" s="11" t="s">
        <v>40</v>
      </c>
      <c r="K24" s="12">
        <v>1</v>
      </c>
      <c r="L24" s="13" t="s">
        <v>41</v>
      </c>
      <c r="M24" s="14" t="s">
        <v>25</v>
      </c>
      <c r="N24" s="36">
        <f>F24*$M$5</f>
        <v>990000.00000000012</v>
      </c>
      <c r="O24" s="31">
        <f>K24*N24</f>
        <v>990000.00000000012</v>
      </c>
      <c r="Q24" s="4">
        <v>4</v>
      </c>
      <c r="R24" s="11" t="s">
        <v>40</v>
      </c>
      <c r="S24" s="12">
        <v>1</v>
      </c>
      <c r="T24" s="13" t="s">
        <v>41</v>
      </c>
      <c r="U24" s="14" t="s">
        <v>25</v>
      </c>
      <c r="V24" s="36">
        <f>F24*$U$5</f>
        <v>990000.00000000012</v>
      </c>
      <c r="W24" s="31">
        <f>S24*V24</f>
        <v>990000.00000000012</v>
      </c>
      <c r="Y24" s="4">
        <v>4</v>
      </c>
      <c r="Z24" s="11" t="s">
        <v>40</v>
      </c>
      <c r="AA24" s="12">
        <v>1</v>
      </c>
      <c r="AB24" s="13" t="s">
        <v>41</v>
      </c>
      <c r="AC24" s="14" t="s">
        <v>25</v>
      </c>
      <c r="AD24" s="36">
        <f>F24*$AC$5</f>
        <v>1034999.9999999999</v>
      </c>
      <c r="AE24" s="31">
        <f>AA24*AD24</f>
        <v>1034999.9999999999</v>
      </c>
      <c r="AG24" s="4">
        <v>4</v>
      </c>
      <c r="AH24" s="11" t="s">
        <v>40</v>
      </c>
      <c r="AI24" s="12">
        <v>1</v>
      </c>
      <c r="AJ24" s="13" t="s">
        <v>41</v>
      </c>
      <c r="AK24" s="14" t="s">
        <v>25</v>
      </c>
      <c r="AL24" s="36">
        <f>F24*$AK$5</f>
        <v>1034999.9999999999</v>
      </c>
      <c r="AM24" s="31">
        <f>AI24*AL24</f>
        <v>1034999.9999999999</v>
      </c>
    </row>
    <row r="25" spans="1:39" x14ac:dyDescent="0.45">
      <c r="A25" s="4"/>
      <c r="B25" s="30"/>
      <c r="C25" s="35"/>
      <c r="D25" s="35"/>
      <c r="E25" s="35"/>
      <c r="F25" s="31"/>
      <c r="G25" s="31"/>
      <c r="I25" s="4"/>
      <c r="J25" s="30"/>
      <c r="K25" s="35"/>
      <c r="L25" s="35"/>
      <c r="M25" s="35"/>
      <c r="N25" s="31"/>
      <c r="O25" s="31"/>
      <c r="Q25" s="4"/>
      <c r="R25" s="30"/>
      <c r="S25" s="35"/>
      <c r="T25" s="35"/>
      <c r="U25" s="35"/>
      <c r="V25" s="31"/>
      <c r="W25" s="31"/>
      <c r="Y25" s="4"/>
      <c r="Z25" s="30"/>
      <c r="AA25" s="35"/>
      <c r="AB25" s="35"/>
      <c r="AC25" s="35"/>
      <c r="AD25" s="31"/>
      <c r="AE25" s="31"/>
      <c r="AG25" s="4"/>
      <c r="AH25" s="30"/>
      <c r="AI25" s="35"/>
      <c r="AJ25" s="35"/>
      <c r="AK25" s="35"/>
      <c r="AL25" s="31"/>
      <c r="AM25" s="31"/>
    </row>
    <row r="26" spans="1:39" x14ac:dyDescent="0.45">
      <c r="A26" s="27" t="s">
        <v>42</v>
      </c>
      <c r="B26" s="28" t="s">
        <v>43</v>
      </c>
      <c r="C26" s="32"/>
      <c r="D26" s="32"/>
      <c r="E26" s="32"/>
      <c r="F26" s="33"/>
      <c r="G26" s="29">
        <f>SUM(G27:G40)</f>
        <v>9182500</v>
      </c>
      <c r="I26" s="27" t="s">
        <v>42</v>
      </c>
      <c r="J26" s="28" t="s">
        <v>43</v>
      </c>
      <c r="K26" s="32"/>
      <c r="L26" s="32"/>
      <c r="M26" s="32"/>
      <c r="N26" s="33"/>
      <c r="O26" s="29">
        <f>SUM(O27:O40)</f>
        <v>10100750</v>
      </c>
      <c r="Q26" s="27" t="s">
        <v>42</v>
      </c>
      <c r="R26" s="28" t="s">
        <v>43</v>
      </c>
      <c r="S26" s="32"/>
      <c r="T26" s="32"/>
      <c r="U26" s="32"/>
      <c r="V26" s="33"/>
      <c r="W26" s="29">
        <f>SUM(W27:W40)</f>
        <v>10100750</v>
      </c>
      <c r="Y26" s="27" t="s">
        <v>42</v>
      </c>
      <c r="Z26" s="28" t="s">
        <v>43</v>
      </c>
      <c r="AA26" s="32"/>
      <c r="AB26" s="32"/>
      <c r="AC26" s="32"/>
      <c r="AD26" s="33"/>
      <c r="AE26" s="29">
        <f>SUM(AE27:AE40)</f>
        <v>10559875</v>
      </c>
      <c r="AG26" s="27" t="s">
        <v>42</v>
      </c>
      <c r="AH26" s="28" t="s">
        <v>43</v>
      </c>
      <c r="AI26" s="32"/>
      <c r="AJ26" s="32"/>
      <c r="AK26" s="32"/>
      <c r="AL26" s="33"/>
      <c r="AM26" s="29">
        <f>SUM(AM27:AM40)</f>
        <v>10559875</v>
      </c>
    </row>
    <row r="27" spans="1:39" ht="14.55" customHeight="1" x14ac:dyDescent="0.45">
      <c r="A27" s="4">
        <v>1</v>
      </c>
      <c r="B27" s="38" t="s">
        <v>94</v>
      </c>
      <c r="C27" s="1">
        <v>1</v>
      </c>
      <c r="D27" s="38" t="s">
        <v>23</v>
      </c>
      <c r="E27" s="38" t="s">
        <v>45</v>
      </c>
      <c r="F27" s="31">
        <v>1500000</v>
      </c>
      <c r="G27" s="31">
        <f t="shared" ref="G27:G40" si="5">C27*F27</f>
        <v>1500000</v>
      </c>
      <c r="I27" s="4">
        <v>1</v>
      </c>
      <c r="J27" s="38" t="s">
        <v>94</v>
      </c>
      <c r="K27" s="1">
        <v>1</v>
      </c>
      <c r="L27" s="38" t="s">
        <v>23</v>
      </c>
      <c r="M27" s="38" t="s">
        <v>45</v>
      </c>
      <c r="N27" s="36">
        <f t="shared" ref="N27:N40" si="6">F27*$M$5</f>
        <v>1650000.0000000002</v>
      </c>
      <c r="O27" s="31">
        <f t="shared" ref="O27:O40" si="7">K27*N27</f>
        <v>1650000.0000000002</v>
      </c>
      <c r="Q27" s="4">
        <v>1</v>
      </c>
      <c r="R27" s="38" t="s">
        <v>94</v>
      </c>
      <c r="S27" s="1">
        <v>1</v>
      </c>
      <c r="T27" s="38" t="s">
        <v>23</v>
      </c>
      <c r="U27" s="38" t="s">
        <v>45</v>
      </c>
      <c r="V27" s="36">
        <f t="shared" ref="V27:V40" si="8">F27*$U$5</f>
        <v>1650000.0000000002</v>
      </c>
      <c r="W27" s="31">
        <f t="shared" ref="W27:W40" si="9">S27*V27</f>
        <v>1650000.0000000002</v>
      </c>
      <c r="Y27" s="4">
        <v>1</v>
      </c>
      <c r="Z27" s="38" t="s">
        <v>94</v>
      </c>
      <c r="AA27" s="1">
        <v>1</v>
      </c>
      <c r="AB27" s="38" t="s">
        <v>23</v>
      </c>
      <c r="AC27" s="38" t="s">
        <v>45</v>
      </c>
      <c r="AD27" s="36">
        <f t="shared" ref="AD27:AD40" si="10">F27*$AC$5</f>
        <v>1724999.9999999998</v>
      </c>
      <c r="AE27" s="31">
        <f t="shared" ref="AE27:AE40" si="11">AA27*AD27</f>
        <v>1724999.9999999998</v>
      </c>
      <c r="AG27" s="4">
        <v>1</v>
      </c>
      <c r="AH27" s="38" t="s">
        <v>94</v>
      </c>
      <c r="AI27" s="1">
        <v>1</v>
      </c>
      <c r="AJ27" s="38" t="s">
        <v>23</v>
      </c>
      <c r="AK27" s="38" t="s">
        <v>45</v>
      </c>
      <c r="AL27" s="36">
        <f t="shared" ref="AL27:AL40" si="12">F27*$AK$5</f>
        <v>1724999.9999999998</v>
      </c>
      <c r="AM27" s="31">
        <f t="shared" ref="AM27:AM40" si="13">AI27*AL27</f>
        <v>1724999.9999999998</v>
      </c>
    </row>
    <row r="28" spans="1:39" s="40" customFormat="1" ht="14.55" customHeight="1" x14ac:dyDescent="0.45">
      <c r="A28" s="39">
        <v>2</v>
      </c>
      <c r="B28" s="35" t="s">
        <v>46</v>
      </c>
      <c r="C28" s="1">
        <v>3</v>
      </c>
      <c r="D28" s="38" t="s">
        <v>23</v>
      </c>
      <c r="E28" s="38" t="s">
        <v>25</v>
      </c>
      <c r="F28" s="36">
        <v>50000</v>
      </c>
      <c r="G28" s="31">
        <f t="shared" si="5"/>
        <v>150000</v>
      </c>
      <c r="I28" s="39">
        <v>2</v>
      </c>
      <c r="J28" s="35" t="s">
        <v>46</v>
      </c>
      <c r="K28" s="1">
        <v>3</v>
      </c>
      <c r="L28" s="38" t="s">
        <v>23</v>
      </c>
      <c r="M28" s="38" t="s">
        <v>25</v>
      </c>
      <c r="N28" s="36">
        <f t="shared" si="6"/>
        <v>55000.000000000007</v>
      </c>
      <c r="O28" s="31">
        <f t="shared" si="7"/>
        <v>165000.00000000003</v>
      </c>
      <c r="Q28" s="39">
        <v>2</v>
      </c>
      <c r="R28" s="35" t="s">
        <v>46</v>
      </c>
      <c r="S28" s="1">
        <v>3</v>
      </c>
      <c r="T28" s="38" t="s">
        <v>23</v>
      </c>
      <c r="U28" s="38" t="s">
        <v>25</v>
      </c>
      <c r="V28" s="36">
        <f t="shared" si="8"/>
        <v>55000.000000000007</v>
      </c>
      <c r="W28" s="31">
        <f t="shared" si="9"/>
        <v>165000.00000000003</v>
      </c>
      <c r="Y28" s="39">
        <v>2</v>
      </c>
      <c r="Z28" s="35" t="s">
        <v>46</v>
      </c>
      <c r="AA28" s="1">
        <v>3</v>
      </c>
      <c r="AB28" s="38" t="s">
        <v>23</v>
      </c>
      <c r="AC28" s="38" t="s">
        <v>25</v>
      </c>
      <c r="AD28" s="36">
        <f t="shared" si="10"/>
        <v>57499.999999999993</v>
      </c>
      <c r="AE28" s="31">
        <f t="shared" si="11"/>
        <v>172499.99999999997</v>
      </c>
      <c r="AG28" s="39">
        <v>2</v>
      </c>
      <c r="AH28" s="35" t="s">
        <v>46</v>
      </c>
      <c r="AI28" s="1">
        <v>3</v>
      </c>
      <c r="AJ28" s="38" t="s">
        <v>23</v>
      </c>
      <c r="AK28" s="38" t="s">
        <v>25</v>
      </c>
      <c r="AL28" s="36">
        <f t="shared" si="12"/>
        <v>57499.999999999993</v>
      </c>
      <c r="AM28" s="31">
        <f t="shared" si="13"/>
        <v>172499.99999999997</v>
      </c>
    </row>
    <row r="29" spans="1:39" s="3" customFormat="1" ht="14.55" customHeight="1" x14ac:dyDescent="0.45">
      <c r="A29" s="4">
        <v>3</v>
      </c>
      <c r="B29" s="2" t="s">
        <v>103</v>
      </c>
      <c r="C29" s="1">
        <v>1</v>
      </c>
      <c r="D29" s="38" t="s">
        <v>23</v>
      </c>
      <c r="E29" s="38" t="s">
        <v>48</v>
      </c>
      <c r="F29" s="36">
        <v>1500000</v>
      </c>
      <c r="G29" s="31">
        <f t="shared" si="5"/>
        <v>1500000</v>
      </c>
      <c r="I29" s="4">
        <v>3</v>
      </c>
      <c r="J29" s="2" t="s">
        <v>103</v>
      </c>
      <c r="K29" s="1">
        <v>1</v>
      </c>
      <c r="L29" s="38" t="s">
        <v>23</v>
      </c>
      <c r="M29" s="38" t="s">
        <v>48</v>
      </c>
      <c r="N29" s="36">
        <f t="shared" si="6"/>
        <v>1650000.0000000002</v>
      </c>
      <c r="O29" s="31">
        <f t="shared" si="7"/>
        <v>1650000.0000000002</v>
      </c>
      <c r="Q29" s="4">
        <v>3</v>
      </c>
      <c r="R29" s="2" t="s">
        <v>103</v>
      </c>
      <c r="S29" s="1">
        <v>1</v>
      </c>
      <c r="T29" s="38" t="s">
        <v>23</v>
      </c>
      <c r="U29" s="38" t="s">
        <v>48</v>
      </c>
      <c r="V29" s="36">
        <f t="shared" si="8"/>
        <v>1650000.0000000002</v>
      </c>
      <c r="W29" s="31">
        <f t="shared" si="9"/>
        <v>1650000.0000000002</v>
      </c>
      <c r="Y29" s="4">
        <v>3</v>
      </c>
      <c r="Z29" s="2" t="s">
        <v>103</v>
      </c>
      <c r="AA29" s="1">
        <v>1</v>
      </c>
      <c r="AB29" s="38" t="s">
        <v>23</v>
      </c>
      <c r="AC29" s="38" t="s">
        <v>48</v>
      </c>
      <c r="AD29" s="36">
        <f t="shared" si="10"/>
        <v>1724999.9999999998</v>
      </c>
      <c r="AE29" s="31">
        <f t="shared" si="11"/>
        <v>1724999.9999999998</v>
      </c>
      <c r="AG29" s="4">
        <v>3</v>
      </c>
      <c r="AH29" s="2" t="s">
        <v>103</v>
      </c>
      <c r="AI29" s="1">
        <v>1</v>
      </c>
      <c r="AJ29" s="38" t="s">
        <v>23</v>
      </c>
      <c r="AK29" s="38" t="s">
        <v>48</v>
      </c>
      <c r="AL29" s="36">
        <f t="shared" si="12"/>
        <v>1724999.9999999998</v>
      </c>
      <c r="AM29" s="31">
        <f t="shared" si="13"/>
        <v>1724999.9999999998</v>
      </c>
    </row>
    <row r="30" spans="1:39" s="3" customFormat="1" ht="14.55" customHeight="1" x14ac:dyDescent="0.45">
      <c r="A30" s="39">
        <v>4</v>
      </c>
      <c r="B30" s="2" t="s">
        <v>49</v>
      </c>
      <c r="C30" s="1">
        <v>2</v>
      </c>
      <c r="D30" s="38" t="s">
        <v>23</v>
      </c>
      <c r="E30" s="38" t="s">
        <v>25</v>
      </c>
      <c r="F30" s="36">
        <v>200000</v>
      </c>
      <c r="G30" s="31">
        <f t="shared" si="5"/>
        <v>400000</v>
      </c>
      <c r="I30" s="39">
        <v>4</v>
      </c>
      <c r="J30" s="2" t="s">
        <v>49</v>
      </c>
      <c r="K30" s="1">
        <v>2</v>
      </c>
      <c r="L30" s="38" t="s">
        <v>23</v>
      </c>
      <c r="M30" s="38" t="s">
        <v>25</v>
      </c>
      <c r="N30" s="36">
        <f t="shared" si="6"/>
        <v>220000.00000000003</v>
      </c>
      <c r="O30" s="31">
        <f t="shared" si="7"/>
        <v>440000.00000000006</v>
      </c>
      <c r="Q30" s="39">
        <v>4</v>
      </c>
      <c r="R30" s="2" t="s">
        <v>49</v>
      </c>
      <c r="S30" s="1">
        <v>2</v>
      </c>
      <c r="T30" s="38" t="s">
        <v>23</v>
      </c>
      <c r="U30" s="38" t="s">
        <v>25</v>
      </c>
      <c r="V30" s="36">
        <f t="shared" si="8"/>
        <v>220000.00000000003</v>
      </c>
      <c r="W30" s="31">
        <f t="shared" si="9"/>
        <v>440000.00000000006</v>
      </c>
      <c r="Y30" s="39">
        <v>4</v>
      </c>
      <c r="Z30" s="2" t="s">
        <v>49</v>
      </c>
      <c r="AA30" s="1">
        <v>2</v>
      </c>
      <c r="AB30" s="38" t="s">
        <v>23</v>
      </c>
      <c r="AC30" s="38" t="s">
        <v>25</v>
      </c>
      <c r="AD30" s="36">
        <f t="shared" si="10"/>
        <v>229999.99999999997</v>
      </c>
      <c r="AE30" s="31">
        <f t="shared" si="11"/>
        <v>459999.99999999994</v>
      </c>
      <c r="AG30" s="39">
        <v>4</v>
      </c>
      <c r="AH30" s="2" t="s">
        <v>49</v>
      </c>
      <c r="AI30" s="1">
        <v>2</v>
      </c>
      <c r="AJ30" s="38" t="s">
        <v>23</v>
      </c>
      <c r="AK30" s="38" t="s">
        <v>25</v>
      </c>
      <c r="AL30" s="36">
        <f t="shared" si="12"/>
        <v>229999.99999999997</v>
      </c>
      <c r="AM30" s="31">
        <f t="shared" si="13"/>
        <v>459999.99999999994</v>
      </c>
    </row>
    <row r="31" spans="1:39" s="3" customFormat="1" ht="14.55" customHeight="1" x14ac:dyDescent="0.45">
      <c r="A31" s="4">
        <v>5</v>
      </c>
      <c r="B31" s="2" t="s">
        <v>50</v>
      </c>
      <c r="C31" s="1">
        <v>1</v>
      </c>
      <c r="D31" s="35" t="s">
        <v>51</v>
      </c>
      <c r="E31" s="35" t="s">
        <v>25</v>
      </c>
      <c r="F31" s="36">
        <v>150000</v>
      </c>
      <c r="G31" s="31">
        <f t="shared" si="5"/>
        <v>150000</v>
      </c>
      <c r="I31" s="4">
        <v>5</v>
      </c>
      <c r="J31" s="2" t="s">
        <v>50</v>
      </c>
      <c r="K31" s="1">
        <v>1</v>
      </c>
      <c r="L31" s="35" t="s">
        <v>51</v>
      </c>
      <c r="M31" s="35" t="s">
        <v>25</v>
      </c>
      <c r="N31" s="36">
        <f t="shared" si="6"/>
        <v>165000</v>
      </c>
      <c r="O31" s="31">
        <f t="shared" si="7"/>
        <v>165000</v>
      </c>
      <c r="Q31" s="4">
        <v>5</v>
      </c>
      <c r="R31" s="2" t="s">
        <v>50</v>
      </c>
      <c r="S31" s="1">
        <v>1</v>
      </c>
      <c r="T31" s="35" t="s">
        <v>51</v>
      </c>
      <c r="U31" s="35" t="s">
        <v>25</v>
      </c>
      <c r="V31" s="36">
        <f t="shared" si="8"/>
        <v>165000</v>
      </c>
      <c r="W31" s="31">
        <f t="shared" si="9"/>
        <v>165000</v>
      </c>
      <c r="Y31" s="4">
        <v>5</v>
      </c>
      <c r="Z31" s="2" t="s">
        <v>50</v>
      </c>
      <c r="AA31" s="1">
        <v>1</v>
      </c>
      <c r="AB31" s="35" t="s">
        <v>51</v>
      </c>
      <c r="AC31" s="35" t="s">
        <v>25</v>
      </c>
      <c r="AD31" s="36">
        <f t="shared" si="10"/>
        <v>172500</v>
      </c>
      <c r="AE31" s="31">
        <f t="shared" si="11"/>
        <v>172500</v>
      </c>
      <c r="AG31" s="4">
        <v>5</v>
      </c>
      <c r="AH31" s="2" t="s">
        <v>50</v>
      </c>
      <c r="AI31" s="1">
        <v>1</v>
      </c>
      <c r="AJ31" s="35" t="s">
        <v>51</v>
      </c>
      <c r="AK31" s="35" t="s">
        <v>25</v>
      </c>
      <c r="AL31" s="36">
        <f t="shared" si="12"/>
        <v>172500</v>
      </c>
      <c r="AM31" s="31">
        <f t="shared" si="13"/>
        <v>172500</v>
      </c>
    </row>
    <row r="32" spans="1:39" s="3" customFormat="1" ht="14.55" customHeight="1" x14ac:dyDescent="0.45">
      <c r="A32" s="39">
        <v>6</v>
      </c>
      <c r="B32" s="2" t="s">
        <v>52</v>
      </c>
      <c r="C32" s="1">
        <v>1</v>
      </c>
      <c r="D32" s="35" t="s">
        <v>23</v>
      </c>
      <c r="E32" s="35" t="s">
        <v>25</v>
      </c>
      <c r="F32" s="36">
        <v>500000</v>
      </c>
      <c r="G32" s="31">
        <f t="shared" si="5"/>
        <v>500000</v>
      </c>
      <c r="I32" s="39">
        <v>6</v>
      </c>
      <c r="J32" s="2" t="s">
        <v>52</v>
      </c>
      <c r="K32" s="1">
        <v>1</v>
      </c>
      <c r="L32" s="35" t="s">
        <v>23</v>
      </c>
      <c r="M32" s="35" t="s">
        <v>25</v>
      </c>
      <c r="N32" s="36">
        <f t="shared" si="6"/>
        <v>550000</v>
      </c>
      <c r="O32" s="31">
        <f t="shared" si="7"/>
        <v>550000</v>
      </c>
      <c r="Q32" s="39">
        <v>6</v>
      </c>
      <c r="R32" s="2" t="s">
        <v>52</v>
      </c>
      <c r="S32" s="1">
        <v>1</v>
      </c>
      <c r="T32" s="35" t="s">
        <v>23</v>
      </c>
      <c r="U32" s="35" t="s">
        <v>25</v>
      </c>
      <c r="V32" s="36">
        <f t="shared" si="8"/>
        <v>550000</v>
      </c>
      <c r="W32" s="31">
        <f t="shared" si="9"/>
        <v>550000</v>
      </c>
      <c r="Y32" s="39">
        <v>6</v>
      </c>
      <c r="Z32" s="2" t="s">
        <v>52</v>
      </c>
      <c r="AA32" s="1">
        <v>1</v>
      </c>
      <c r="AB32" s="35" t="s">
        <v>23</v>
      </c>
      <c r="AC32" s="35" t="s">
        <v>25</v>
      </c>
      <c r="AD32" s="36">
        <f t="shared" si="10"/>
        <v>575000</v>
      </c>
      <c r="AE32" s="31">
        <f t="shared" si="11"/>
        <v>575000</v>
      </c>
      <c r="AG32" s="39">
        <v>6</v>
      </c>
      <c r="AH32" s="2" t="s">
        <v>52</v>
      </c>
      <c r="AI32" s="1">
        <v>1</v>
      </c>
      <c r="AJ32" s="35" t="s">
        <v>23</v>
      </c>
      <c r="AK32" s="35" t="s">
        <v>25</v>
      </c>
      <c r="AL32" s="36">
        <f t="shared" si="12"/>
        <v>575000</v>
      </c>
      <c r="AM32" s="31">
        <f t="shared" si="13"/>
        <v>575000</v>
      </c>
    </row>
    <row r="33" spans="1:39" s="3" customFormat="1" ht="14.55" customHeight="1" x14ac:dyDescent="0.45">
      <c r="A33" s="4">
        <v>7</v>
      </c>
      <c r="B33" s="2" t="s">
        <v>53</v>
      </c>
      <c r="C33" s="1">
        <v>1</v>
      </c>
      <c r="D33" s="35" t="s">
        <v>23</v>
      </c>
      <c r="E33" s="35" t="s">
        <v>25</v>
      </c>
      <c r="F33" s="36">
        <v>250000</v>
      </c>
      <c r="G33" s="31">
        <f t="shared" si="5"/>
        <v>250000</v>
      </c>
      <c r="I33" s="4">
        <v>7</v>
      </c>
      <c r="J33" s="2" t="s">
        <v>53</v>
      </c>
      <c r="K33" s="1">
        <v>1</v>
      </c>
      <c r="L33" s="35" t="s">
        <v>23</v>
      </c>
      <c r="M33" s="35" t="s">
        <v>25</v>
      </c>
      <c r="N33" s="36">
        <f t="shared" si="6"/>
        <v>275000</v>
      </c>
      <c r="O33" s="31">
        <f t="shared" si="7"/>
        <v>275000</v>
      </c>
      <c r="Q33" s="4">
        <v>7</v>
      </c>
      <c r="R33" s="2" t="s">
        <v>53</v>
      </c>
      <c r="S33" s="1">
        <v>1</v>
      </c>
      <c r="T33" s="35" t="s">
        <v>23</v>
      </c>
      <c r="U33" s="35" t="s">
        <v>25</v>
      </c>
      <c r="V33" s="36">
        <f t="shared" si="8"/>
        <v>275000</v>
      </c>
      <c r="W33" s="31">
        <f t="shared" si="9"/>
        <v>275000</v>
      </c>
      <c r="Y33" s="4">
        <v>7</v>
      </c>
      <c r="Z33" s="2" t="s">
        <v>53</v>
      </c>
      <c r="AA33" s="1">
        <v>1</v>
      </c>
      <c r="AB33" s="35" t="s">
        <v>23</v>
      </c>
      <c r="AC33" s="35" t="s">
        <v>25</v>
      </c>
      <c r="AD33" s="36">
        <f t="shared" si="10"/>
        <v>287500</v>
      </c>
      <c r="AE33" s="31">
        <f t="shared" si="11"/>
        <v>287500</v>
      </c>
      <c r="AG33" s="4">
        <v>7</v>
      </c>
      <c r="AH33" s="2" t="s">
        <v>53</v>
      </c>
      <c r="AI33" s="1">
        <v>1</v>
      </c>
      <c r="AJ33" s="35" t="s">
        <v>23</v>
      </c>
      <c r="AK33" s="35" t="s">
        <v>25</v>
      </c>
      <c r="AL33" s="36">
        <f t="shared" si="12"/>
        <v>287500</v>
      </c>
      <c r="AM33" s="31">
        <f t="shared" si="13"/>
        <v>287500</v>
      </c>
    </row>
    <row r="34" spans="1:39" s="3" customFormat="1" ht="14.55" customHeight="1" x14ac:dyDescent="0.45">
      <c r="A34" s="39">
        <v>8</v>
      </c>
      <c r="B34" s="2" t="s">
        <v>54</v>
      </c>
      <c r="C34" s="1">
        <v>1</v>
      </c>
      <c r="D34" s="35" t="s">
        <v>51</v>
      </c>
      <c r="E34" s="35" t="s">
        <v>25</v>
      </c>
      <c r="F34" s="36">
        <v>250000</v>
      </c>
      <c r="G34" s="31">
        <f t="shared" si="5"/>
        <v>250000</v>
      </c>
      <c r="I34" s="39">
        <v>8</v>
      </c>
      <c r="J34" s="2" t="s">
        <v>54</v>
      </c>
      <c r="K34" s="1">
        <v>1</v>
      </c>
      <c r="L34" s="35" t="s">
        <v>51</v>
      </c>
      <c r="M34" s="35" t="s">
        <v>25</v>
      </c>
      <c r="N34" s="36">
        <f t="shared" si="6"/>
        <v>275000</v>
      </c>
      <c r="O34" s="31">
        <f t="shared" si="7"/>
        <v>275000</v>
      </c>
      <c r="Q34" s="39">
        <v>8</v>
      </c>
      <c r="R34" s="2" t="s">
        <v>54</v>
      </c>
      <c r="S34" s="1">
        <v>1</v>
      </c>
      <c r="T34" s="35" t="s">
        <v>51</v>
      </c>
      <c r="U34" s="35" t="s">
        <v>25</v>
      </c>
      <c r="V34" s="36">
        <f t="shared" si="8"/>
        <v>275000</v>
      </c>
      <c r="W34" s="31">
        <f t="shared" si="9"/>
        <v>275000</v>
      </c>
      <c r="Y34" s="39">
        <v>8</v>
      </c>
      <c r="Z34" s="2" t="s">
        <v>54</v>
      </c>
      <c r="AA34" s="1">
        <v>1</v>
      </c>
      <c r="AB34" s="35" t="s">
        <v>51</v>
      </c>
      <c r="AC34" s="35" t="s">
        <v>25</v>
      </c>
      <c r="AD34" s="36">
        <f t="shared" si="10"/>
        <v>287500</v>
      </c>
      <c r="AE34" s="31">
        <f t="shared" si="11"/>
        <v>287500</v>
      </c>
      <c r="AG34" s="39">
        <v>8</v>
      </c>
      <c r="AH34" s="2" t="s">
        <v>54</v>
      </c>
      <c r="AI34" s="1">
        <v>1</v>
      </c>
      <c r="AJ34" s="35" t="s">
        <v>51</v>
      </c>
      <c r="AK34" s="35" t="s">
        <v>25</v>
      </c>
      <c r="AL34" s="36">
        <f t="shared" si="12"/>
        <v>287500</v>
      </c>
      <c r="AM34" s="31">
        <f t="shared" si="13"/>
        <v>287500</v>
      </c>
    </row>
    <row r="35" spans="1:39" s="3" customFormat="1" ht="14.55" customHeight="1" x14ac:dyDescent="0.45">
      <c r="A35" s="4">
        <v>9</v>
      </c>
      <c r="B35" s="2" t="s">
        <v>55</v>
      </c>
      <c r="C35" s="1">
        <v>1</v>
      </c>
      <c r="D35" s="35" t="s">
        <v>23</v>
      </c>
      <c r="E35" s="35" t="s">
        <v>25</v>
      </c>
      <c r="F35" s="36">
        <v>250000</v>
      </c>
      <c r="G35" s="31">
        <f t="shared" si="5"/>
        <v>250000</v>
      </c>
      <c r="I35" s="4">
        <v>9</v>
      </c>
      <c r="J35" s="2" t="s">
        <v>55</v>
      </c>
      <c r="K35" s="1">
        <v>1</v>
      </c>
      <c r="L35" s="35" t="s">
        <v>23</v>
      </c>
      <c r="M35" s="35" t="s">
        <v>25</v>
      </c>
      <c r="N35" s="36">
        <f t="shared" si="6"/>
        <v>275000</v>
      </c>
      <c r="O35" s="31">
        <f t="shared" si="7"/>
        <v>275000</v>
      </c>
      <c r="Q35" s="4">
        <v>9</v>
      </c>
      <c r="R35" s="2" t="s">
        <v>55</v>
      </c>
      <c r="S35" s="1">
        <v>1</v>
      </c>
      <c r="T35" s="35" t="s">
        <v>23</v>
      </c>
      <c r="U35" s="35" t="s">
        <v>25</v>
      </c>
      <c r="V35" s="36">
        <f t="shared" si="8"/>
        <v>275000</v>
      </c>
      <c r="W35" s="31">
        <f t="shared" si="9"/>
        <v>275000</v>
      </c>
      <c r="Y35" s="4">
        <v>9</v>
      </c>
      <c r="Z35" s="2" t="s">
        <v>55</v>
      </c>
      <c r="AA35" s="1">
        <v>1</v>
      </c>
      <c r="AB35" s="35" t="s">
        <v>23</v>
      </c>
      <c r="AC35" s="35" t="s">
        <v>25</v>
      </c>
      <c r="AD35" s="36">
        <f t="shared" si="10"/>
        <v>287500</v>
      </c>
      <c r="AE35" s="31">
        <f t="shared" si="11"/>
        <v>287500</v>
      </c>
      <c r="AG35" s="4">
        <v>9</v>
      </c>
      <c r="AH35" s="2" t="s">
        <v>55</v>
      </c>
      <c r="AI35" s="1">
        <v>1</v>
      </c>
      <c r="AJ35" s="35" t="s">
        <v>23</v>
      </c>
      <c r="AK35" s="35" t="s">
        <v>25</v>
      </c>
      <c r="AL35" s="36">
        <f t="shared" si="12"/>
        <v>287500</v>
      </c>
      <c r="AM35" s="31">
        <f t="shared" si="13"/>
        <v>287500</v>
      </c>
    </row>
    <row r="36" spans="1:39" s="3" customFormat="1" ht="14.55" customHeight="1" x14ac:dyDescent="0.45">
      <c r="A36" s="39">
        <v>10</v>
      </c>
      <c r="B36" s="2" t="s">
        <v>56</v>
      </c>
      <c r="C36" s="1">
        <v>1</v>
      </c>
      <c r="D36" s="35" t="s">
        <v>51</v>
      </c>
      <c r="E36" s="35" t="s">
        <v>25</v>
      </c>
      <c r="F36" s="36">
        <v>300000</v>
      </c>
      <c r="G36" s="31">
        <f t="shared" si="5"/>
        <v>300000</v>
      </c>
      <c r="I36" s="39">
        <v>10</v>
      </c>
      <c r="J36" s="2" t="s">
        <v>56</v>
      </c>
      <c r="K36" s="1">
        <v>1</v>
      </c>
      <c r="L36" s="35" t="s">
        <v>51</v>
      </c>
      <c r="M36" s="35" t="s">
        <v>25</v>
      </c>
      <c r="N36" s="36">
        <f t="shared" si="6"/>
        <v>330000</v>
      </c>
      <c r="O36" s="31">
        <f t="shared" si="7"/>
        <v>330000</v>
      </c>
      <c r="Q36" s="39">
        <v>10</v>
      </c>
      <c r="R36" s="2" t="s">
        <v>56</v>
      </c>
      <c r="S36" s="1">
        <v>1</v>
      </c>
      <c r="T36" s="35" t="s">
        <v>51</v>
      </c>
      <c r="U36" s="35" t="s">
        <v>25</v>
      </c>
      <c r="V36" s="36">
        <f t="shared" si="8"/>
        <v>330000</v>
      </c>
      <c r="W36" s="31">
        <f t="shared" si="9"/>
        <v>330000</v>
      </c>
      <c r="Y36" s="39">
        <v>10</v>
      </c>
      <c r="Z36" s="2" t="s">
        <v>56</v>
      </c>
      <c r="AA36" s="1">
        <v>1</v>
      </c>
      <c r="AB36" s="35" t="s">
        <v>51</v>
      </c>
      <c r="AC36" s="35" t="s">
        <v>25</v>
      </c>
      <c r="AD36" s="36">
        <f t="shared" si="10"/>
        <v>345000</v>
      </c>
      <c r="AE36" s="31">
        <f t="shared" si="11"/>
        <v>345000</v>
      </c>
      <c r="AG36" s="39">
        <v>10</v>
      </c>
      <c r="AH36" s="2" t="s">
        <v>56</v>
      </c>
      <c r="AI36" s="1">
        <v>1</v>
      </c>
      <c r="AJ36" s="35" t="s">
        <v>51</v>
      </c>
      <c r="AK36" s="35" t="s">
        <v>25</v>
      </c>
      <c r="AL36" s="36">
        <f t="shared" si="12"/>
        <v>345000</v>
      </c>
      <c r="AM36" s="31">
        <f t="shared" si="13"/>
        <v>345000</v>
      </c>
    </row>
    <row r="37" spans="1:39" s="3" customFormat="1" ht="14.55" customHeight="1" x14ac:dyDescent="0.45">
      <c r="A37" s="4">
        <v>11</v>
      </c>
      <c r="B37" s="2" t="s">
        <v>57</v>
      </c>
      <c r="C37" s="1">
        <v>1</v>
      </c>
      <c r="D37" s="35" t="s">
        <v>58</v>
      </c>
      <c r="E37" s="38" t="s">
        <v>48</v>
      </c>
      <c r="F37" s="36">
        <v>500000</v>
      </c>
      <c r="G37" s="31">
        <f t="shared" si="5"/>
        <v>500000</v>
      </c>
      <c r="I37" s="4">
        <v>11</v>
      </c>
      <c r="J37" s="2" t="s">
        <v>57</v>
      </c>
      <c r="K37" s="1">
        <v>1</v>
      </c>
      <c r="L37" s="35" t="s">
        <v>58</v>
      </c>
      <c r="M37" s="38" t="s">
        <v>48</v>
      </c>
      <c r="N37" s="36">
        <f t="shared" si="6"/>
        <v>550000</v>
      </c>
      <c r="O37" s="31">
        <f t="shared" si="7"/>
        <v>550000</v>
      </c>
      <c r="Q37" s="4">
        <v>11</v>
      </c>
      <c r="R37" s="2" t="s">
        <v>57</v>
      </c>
      <c r="S37" s="1">
        <v>1</v>
      </c>
      <c r="T37" s="35" t="s">
        <v>58</v>
      </c>
      <c r="U37" s="38" t="s">
        <v>48</v>
      </c>
      <c r="V37" s="36">
        <f t="shared" si="8"/>
        <v>550000</v>
      </c>
      <c r="W37" s="31">
        <f t="shared" si="9"/>
        <v>550000</v>
      </c>
      <c r="Y37" s="4">
        <v>11</v>
      </c>
      <c r="Z37" s="2" t="s">
        <v>57</v>
      </c>
      <c r="AA37" s="1">
        <v>1</v>
      </c>
      <c r="AB37" s="35" t="s">
        <v>58</v>
      </c>
      <c r="AC37" s="38" t="s">
        <v>48</v>
      </c>
      <c r="AD37" s="36">
        <f t="shared" si="10"/>
        <v>575000</v>
      </c>
      <c r="AE37" s="31">
        <f t="shared" si="11"/>
        <v>575000</v>
      </c>
      <c r="AG37" s="4">
        <v>11</v>
      </c>
      <c r="AH37" s="2" t="s">
        <v>57</v>
      </c>
      <c r="AI37" s="1">
        <v>1</v>
      </c>
      <c r="AJ37" s="35" t="s">
        <v>58</v>
      </c>
      <c r="AK37" s="38" t="s">
        <v>48</v>
      </c>
      <c r="AL37" s="36">
        <f t="shared" si="12"/>
        <v>575000</v>
      </c>
      <c r="AM37" s="31">
        <f t="shared" si="13"/>
        <v>575000</v>
      </c>
    </row>
    <row r="38" spans="1:39" s="3" customFormat="1" ht="14.55" customHeight="1" x14ac:dyDescent="0.45">
      <c r="A38" s="39">
        <v>12</v>
      </c>
      <c r="B38" s="2" t="s">
        <v>59</v>
      </c>
      <c r="C38" s="1">
        <v>1</v>
      </c>
      <c r="D38" s="35" t="s">
        <v>23</v>
      </c>
      <c r="E38" s="38" t="s">
        <v>48</v>
      </c>
      <c r="F38" s="36">
        <v>900000</v>
      </c>
      <c r="G38" s="31">
        <f t="shared" si="5"/>
        <v>900000</v>
      </c>
      <c r="I38" s="39">
        <v>12</v>
      </c>
      <c r="J38" s="2" t="s">
        <v>59</v>
      </c>
      <c r="K38" s="1">
        <v>1</v>
      </c>
      <c r="L38" s="35" t="s">
        <v>23</v>
      </c>
      <c r="M38" s="38" t="s">
        <v>48</v>
      </c>
      <c r="N38" s="36">
        <f t="shared" si="6"/>
        <v>990000.00000000012</v>
      </c>
      <c r="O38" s="31">
        <f t="shared" si="7"/>
        <v>990000.00000000012</v>
      </c>
      <c r="Q38" s="39">
        <v>12</v>
      </c>
      <c r="R38" s="2" t="s">
        <v>59</v>
      </c>
      <c r="S38" s="1">
        <v>1</v>
      </c>
      <c r="T38" s="35" t="s">
        <v>23</v>
      </c>
      <c r="U38" s="38" t="s">
        <v>48</v>
      </c>
      <c r="V38" s="36">
        <f t="shared" si="8"/>
        <v>990000.00000000012</v>
      </c>
      <c r="W38" s="31">
        <f t="shared" si="9"/>
        <v>990000.00000000012</v>
      </c>
      <c r="Y38" s="39">
        <v>12</v>
      </c>
      <c r="Z38" s="2" t="s">
        <v>59</v>
      </c>
      <c r="AA38" s="1">
        <v>1</v>
      </c>
      <c r="AB38" s="35" t="s">
        <v>23</v>
      </c>
      <c r="AC38" s="38" t="s">
        <v>48</v>
      </c>
      <c r="AD38" s="36">
        <f t="shared" si="10"/>
        <v>1034999.9999999999</v>
      </c>
      <c r="AE38" s="31">
        <f t="shared" si="11"/>
        <v>1034999.9999999999</v>
      </c>
      <c r="AG38" s="39">
        <v>12</v>
      </c>
      <c r="AH38" s="2" t="s">
        <v>59</v>
      </c>
      <c r="AI38" s="1">
        <v>1</v>
      </c>
      <c r="AJ38" s="35" t="s">
        <v>23</v>
      </c>
      <c r="AK38" s="38" t="s">
        <v>48</v>
      </c>
      <c r="AL38" s="36">
        <f t="shared" si="12"/>
        <v>1034999.9999999999</v>
      </c>
      <c r="AM38" s="31">
        <f t="shared" si="13"/>
        <v>1034999.9999999999</v>
      </c>
    </row>
    <row r="39" spans="1:39" s="3" customFormat="1" ht="14.55" customHeight="1" x14ac:dyDescent="0.45">
      <c r="A39" s="4">
        <v>13</v>
      </c>
      <c r="B39" s="2" t="s">
        <v>60</v>
      </c>
      <c r="C39" s="1">
        <v>2</v>
      </c>
      <c r="D39" s="35" t="s">
        <v>23</v>
      </c>
      <c r="E39" s="35" t="s">
        <v>25</v>
      </c>
      <c r="F39" s="36">
        <v>500000</v>
      </c>
      <c r="G39" s="31">
        <f t="shared" si="5"/>
        <v>1000000</v>
      </c>
      <c r="I39" s="4">
        <v>13</v>
      </c>
      <c r="J39" s="2" t="s">
        <v>60</v>
      </c>
      <c r="K39" s="1">
        <v>2</v>
      </c>
      <c r="L39" s="35" t="s">
        <v>23</v>
      </c>
      <c r="M39" s="35" t="s">
        <v>25</v>
      </c>
      <c r="N39" s="36">
        <f t="shared" si="6"/>
        <v>550000</v>
      </c>
      <c r="O39" s="31">
        <f t="shared" si="7"/>
        <v>1100000</v>
      </c>
      <c r="Q39" s="4">
        <v>13</v>
      </c>
      <c r="R39" s="2" t="s">
        <v>60</v>
      </c>
      <c r="S39" s="1">
        <v>2</v>
      </c>
      <c r="T39" s="35" t="s">
        <v>23</v>
      </c>
      <c r="U39" s="35" t="s">
        <v>25</v>
      </c>
      <c r="V39" s="36">
        <f t="shared" si="8"/>
        <v>550000</v>
      </c>
      <c r="W39" s="31">
        <f t="shared" si="9"/>
        <v>1100000</v>
      </c>
      <c r="Y39" s="4">
        <v>13</v>
      </c>
      <c r="Z39" s="2" t="s">
        <v>60</v>
      </c>
      <c r="AA39" s="1">
        <v>2</v>
      </c>
      <c r="AB39" s="35" t="s">
        <v>23</v>
      </c>
      <c r="AC39" s="35" t="s">
        <v>25</v>
      </c>
      <c r="AD39" s="36">
        <f t="shared" si="10"/>
        <v>575000</v>
      </c>
      <c r="AE39" s="31">
        <f t="shared" si="11"/>
        <v>1150000</v>
      </c>
      <c r="AG39" s="4">
        <v>13</v>
      </c>
      <c r="AH39" s="2" t="s">
        <v>60</v>
      </c>
      <c r="AI39" s="1">
        <v>2</v>
      </c>
      <c r="AJ39" s="35" t="s">
        <v>23</v>
      </c>
      <c r="AK39" s="35" t="s">
        <v>25</v>
      </c>
      <c r="AL39" s="36">
        <f t="shared" si="12"/>
        <v>575000</v>
      </c>
      <c r="AM39" s="31">
        <f t="shared" si="13"/>
        <v>1150000</v>
      </c>
    </row>
    <row r="40" spans="1:39" s="3" customFormat="1" ht="14.55" customHeight="1" x14ac:dyDescent="0.45">
      <c r="A40" s="39">
        <v>14</v>
      </c>
      <c r="B40" s="2" t="s">
        <v>61</v>
      </c>
      <c r="C40" s="1">
        <v>1</v>
      </c>
      <c r="D40" s="35" t="s">
        <v>23</v>
      </c>
      <c r="E40" s="35" t="s">
        <v>25</v>
      </c>
      <c r="F40" s="36">
        <v>1532500</v>
      </c>
      <c r="G40" s="31">
        <f t="shared" si="5"/>
        <v>1532500</v>
      </c>
      <c r="I40" s="39">
        <v>14</v>
      </c>
      <c r="J40" s="2" t="s">
        <v>61</v>
      </c>
      <c r="K40" s="1">
        <v>1</v>
      </c>
      <c r="L40" s="35" t="s">
        <v>23</v>
      </c>
      <c r="M40" s="35" t="s">
        <v>25</v>
      </c>
      <c r="N40" s="36">
        <f t="shared" si="6"/>
        <v>1685750.0000000002</v>
      </c>
      <c r="O40" s="31">
        <f t="shared" si="7"/>
        <v>1685750.0000000002</v>
      </c>
      <c r="Q40" s="39">
        <v>14</v>
      </c>
      <c r="R40" s="2" t="s">
        <v>61</v>
      </c>
      <c r="S40" s="1">
        <v>1</v>
      </c>
      <c r="T40" s="35" t="s">
        <v>23</v>
      </c>
      <c r="U40" s="35" t="s">
        <v>25</v>
      </c>
      <c r="V40" s="36">
        <f t="shared" si="8"/>
        <v>1685750.0000000002</v>
      </c>
      <c r="W40" s="31">
        <f t="shared" si="9"/>
        <v>1685750.0000000002</v>
      </c>
      <c r="Y40" s="39">
        <v>14</v>
      </c>
      <c r="Z40" s="2" t="s">
        <v>61</v>
      </c>
      <c r="AA40" s="1">
        <v>1</v>
      </c>
      <c r="AB40" s="35" t="s">
        <v>23</v>
      </c>
      <c r="AC40" s="35" t="s">
        <v>25</v>
      </c>
      <c r="AD40" s="36">
        <f t="shared" si="10"/>
        <v>1762374.9999999998</v>
      </c>
      <c r="AE40" s="31">
        <f t="shared" si="11"/>
        <v>1762374.9999999998</v>
      </c>
      <c r="AG40" s="39">
        <v>14</v>
      </c>
      <c r="AH40" s="2" t="s">
        <v>61</v>
      </c>
      <c r="AI40" s="1">
        <v>1</v>
      </c>
      <c r="AJ40" s="35" t="s">
        <v>23</v>
      </c>
      <c r="AK40" s="35" t="s">
        <v>25</v>
      </c>
      <c r="AL40" s="36">
        <f t="shared" si="12"/>
        <v>1762374.9999999998</v>
      </c>
      <c r="AM40" s="31">
        <f t="shared" si="13"/>
        <v>1762374.9999999998</v>
      </c>
    </row>
    <row r="41" spans="1:39" s="3" customFormat="1" ht="14.55" customHeight="1" x14ac:dyDescent="0.45">
      <c r="A41" s="39"/>
      <c r="B41" s="10"/>
      <c r="C41" s="1"/>
      <c r="D41" s="35"/>
      <c r="E41" s="35"/>
      <c r="F41" s="36"/>
      <c r="G41" s="31"/>
      <c r="I41" s="39"/>
      <c r="J41" s="10"/>
      <c r="K41" s="1"/>
      <c r="L41" s="35"/>
      <c r="M41" s="35"/>
      <c r="N41" s="36"/>
      <c r="O41" s="31"/>
      <c r="Q41" s="39"/>
      <c r="R41" s="10"/>
      <c r="S41" s="1"/>
      <c r="T41" s="35"/>
      <c r="U41" s="35"/>
      <c r="V41" s="36"/>
      <c r="W41" s="31"/>
      <c r="Y41" s="39"/>
      <c r="Z41" s="10"/>
      <c r="AA41" s="1"/>
      <c r="AB41" s="35"/>
      <c r="AC41" s="35"/>
      <c r="AD41" s="36"/>
      <c r="AE41" s="31"/>
      <c r="AG41" s="39"/>
      <c r="AH41" s="10"/>
      <c r="AI41" s="1"/>
      <c r="AJ41" s="35"/>
      <c r="AK41" s="35"/>
      <c r="AL41" s="36"/>
      <c r="AM41" s="31"/>
    </row>
    <row r="42" spans="1:39" x14ac:dyDescent="0.45">
      <c r="A42" s="27" t="s">
        <v>62</v>
      </c>
      <c r="B42" s="41" t="s">
        <v>63</v>
      </c>
      <c r="C42" s="32"/>
      <c r="D42" s="32"/>
      <c r="E42" s="32"/>
      <c r="F42" s="33"/>
      <c r="G42" s="29">
        <f>SUM(G43:G50)</f>
        <v>21277480</v>
      </c>
      <c r="I42" s="27" t="s">
        <v>62</v>
      </c>
      <c r="J42" s="41" t="s">
        <v>63</v>
      </c>
      <c r="K42" s="32"/>
      <c r="L42" s="32"/>
      <c r="M42" s="32"/>
      <c r="N42" s="33"/>
      <c r="O42" s="29">
        <f>SUM(O43:O50)</f>
        <v>23405228</v>
      </c>
      <c r="Q42" s="27" t="s">
        <v>62</v>
      </c>
      <c r="R42" s="41" t="s">
        <v>63</v>
      </c>
      <c r="S42" s="32"/>
      <c r="T42" s="32"/>
      <c r="U42" s="32"/>
      <c r="V42" s="33"/>
      <c r="W42" s="29">
        <f>SUM(W43:W50)</f>
        <v>23405228</v>
      </c>
      <c r="Y42" s="27" t="s">
        <v>62</v>
      </c>
      <c r="Z42" s="41" t="s">
        <v>63</v>
      </c>
      <c r="AA42" s="32"/>
      <c r="AB42" s="32"/>
      <c r="AC42" s="32"/>
      <c r="AD42" s="33"/>
      <c r="AE42" s="29">
        <f>SUM(AE43:AE50)</f>
        <v>24469102</v>
      </c>
      <c r="AG42" s="27" t="s">
        <v>62</v>
      </c>
      <c r="AH42" s="41" t="s">
        <v>63</v>
      </c>
      <c r="AI42" s="32"/>
      <c r="AJ42" s="32"/>
      <c r="AK42" s="32"/>
      <c r="AL42" s="33"/>
      <c r="AM42" s="29">
        <f>SUM(AM43:AM50)</f>
        <v>24469102</v>
      </c>
    </row>
    <row r="43" spans="1:39" ht="29.55" customHeight="1" x14ac:dyDescent="0.45">
      <c r="A43" s="4">
        <v>1</v>
      </c>
      <c r="B43" s="35" t="s">
        <v>95</v>
      </c>
      <c r="C43" s="35">
        <v>20</v>
      </c>
      <c r="D43" s="35" t="s">
        <v>65</v>
      </c>
      <c r="E43" s="34" t="s">
        <v>66</v>
      </c>
      <c r="F43" s="36">
        <v>402187</v>
      </c>
      <c r="G43" s="31">
        <f>C43*F43</f>
        <v>8043740</v>
      </c>
      <c r="I43" s="4">
        <v>1</v>
      </c>
      <c r="J43" s="35" t="s">
        <v>95</v>
      </c>
      <c r="K43" s="35">
        <v>20</v>
      </c>
      <c r="L43" s="35" t="s">
        <v>65</v>
      </c>
      <c r="M43" s="34" t="s">
        <v>66</v>
      </c>
      <c r="N43" s="36">
        <f>F43*$M$5</f>
        <v>442405.7</v>
      </c>
      <c r="O43" s="31">
        <f t="shared" ref="O43:O50" si="14">K43*N43</f>
        <v>8848114</v>
      </c>
      <c r="Q43" s="4">
        <v>1</v>
      </c>
      <c r="R43" s="35" t="s">
        <v>95</v>
      </c>
      <c r="S43" s="35">
        <v>20</v>
      </c>
      <c r="T43" s="35" t="s">
        <v>65</v>
      </c>
      <c r="U43" s="34" t="s">
        <v>66</v>
      </c>
      <c r="V43" s="36">
        <f t="shared" ref="V43:V50" si="15">F43*$U$5</f>
        <v>442405.7</v>
      </c>
      <c r="W43" s="31">
        <f t="shared" ref="W43:W50" si="16">S43*V43</f>
        <v>8848114</v>
      </c>
      <c r="Y43" s="4">
        <v>1</v>
      </c>
      <c r="Z43" s="35" t="s">
        <v>95</v>
      </c>
      <c r="AA43" s="35">
        <v>20</v>
      </c>
      <c r="AB43" s="35" t="s">
        <v>65</v>
      </c>
      <c r="AC43" s="34" t="s">
        <v>66</v>
      </c>
      <c r="AD43" s="36">
        <f t="shared" ref="AD43:AD50" si="17">F43*$AC$5</f>
        <v>462515.05</v>
      </c>
      <c r="AE43" s="31">
        <f t="shared" ref="AE43:AE50" si="18">AA43*AD43</f>
        <v>9250301</v>
      </c>
      <c r="AG43" s="4">
        <v>1</v>
      </c>
      <c r="AH43" s="35" t="s">
        <v>95</v>
      </c>
      <c r="AI43" s="35">
        <v>20</v>
      </c>
      <c r="AJ43" s="35" t="s">
        <v>65</v>
      </c>
      <c r="AK43" s="34" t="s">
        <v>66</v>
      </c>
      <c r="AL43" s="36">
        <f t="shared" ref="AL43:AL50" si="19">F43*$AK$5</f>
        <v>462515.05</v>
      </c>
      <c r="AM43" s="31">
        <f t="shared" ref="AM43:AM50" si="20">AI43*AL43</f>
        <v>9250301</v>
      </c>
    </row>
    <row r="44" spans="1:39" ht="29.55" customHeight="1" x14ac:dyDescent="0.45">
      <c r="A44" s="4">
        <v>2</v>
      </c>
      <c r="B44" s="35" t="s">
        <v>96</v>
      </c>
      <c r="C44" s="35">
        <v>20</v>
      </c>
      <c r="D44" s="35" t="s">
        <v>65</v>
      </c>
      <c r="E44" s="34" t="s">
        <v>66</v>
      </c>
      <c r="F44" s="36">
        <v>402187</v>
      </c>
      <c r="G44" s="31">
        <f>C44*F44</f>
        <v>8043740</v>
      </c>
      <c r="I44" s="4">
        <v>2</v>
      </c>
      <c r="J44" s="35" t="s">
        <v>96</v>
      </c>
      <c r="K44" s="35">
        <v>20</v>
      </c>
      <c r="L44" s="35" t="s">
        <v>65</v>
      </c>
      <c r="M44" s="34" t="s">
        <v>66</v>
      </c>
      <c r="N44" s="36">
        <f t="shared" ref="N44:N50" si="21">F44*$M$5</f>
        <v>442405.7</v>
      </c>
      <c r="O44" s="31">
        <f t="shared" si="14"/>
        <v>8848114</v>
      </c>
      <c r="Q44" s="4">
        <v>2</v>
      </c>
      <c r="R44" s="35" t="s">
        <v>96</v>
      </c>
      <c r="S44" s="35">
        <v>20</v>
      </c>
      <c r="T44" s="35" t="s">
        <v>65</v>
      </c>
      <c r="U44" s="34" t="s">
        <v>66</v>
      </c>
      <c r="V44" s="36">
        <f t="shared" si="15"/>
        <v>442405.7</v>
      </c>
      <c r="W44" s="31">
        <f t="shared" si="16"/>
        <v>8848114</v>
      </c>
      <c r="Y44" s="4">
        <v>2</v>
      </c>
      <c r="Z44" s="35" t="s">
        <v>96</v>
      </c>
      <c r="AA44" s="35">
        <v>20</v>
      </c>
      <c r="AB44" s="35" t="s">
        <v>65</v>
      </c>
      <c r="AC44" s="34" t="s">
        <v>66</v>
      </c>
      <c r="AD44" s="36">
        <f t="shared" si="17"/>
        <v>462515.05</v>
      </c>
      <c r="AE44" s="31">
        <f t="shared" si="18"/>
        <v>9250301</v>
      </c>
      <c r="AG44" s="4">
        <v>2</v>
      </c>
      <c r="AH44" s="35" t="s">
        <v>96</v>
      </c>
      <c r="AI44" s="35">
        <v>20</v>
      </c>
      <c r="AJ44" s="35" t="s">
        <v>65</v>
      </c>
      <c r="AK44" s="34" t="s">
        <v>66</v>
      </c>
      <c r="AL44" s="36">
        <f t="shared" si="19"/>
        <v>462515.05</v>
      </c>
      <c r="AM44" s="31">
        <f t="shared" si="20"/>
        <v>9250301</v>
      </c>
    </row>
    <row r="45" spans="1:39" ht="29.55" customHeight="1" x14ac:dyDescent="0.45">
      <c r="A45" s="4">
        <v>3</v>
      </c>
      <c r="B45" s="35" t="s">
        <v>97</v>
      </c>
      <c r="C45" s="35">
        <v>20</v>
      </c>
      <c r="D45" t="s">
        <v>65</v>
      </c>
      <c r="E45" s="34" t="s">
        <v>66</v>
      </c>
      <c r="F45" s="36">
        <f>44400*1.25</f>
        <v>55500</v>
      </c>
      <c r="G45" s="31">
        <f t="shared" ref="G45:G50" si="22">C45*F45</f>
        <v>1110000</v>
      </c>
      <c r="I45" s="4">
        <v>3</v>
      </c>
      <c r="J45" s="35" t="s">
        <v>97</v>
      </c>
      <c r="K45" s="35">
        <v>20</v>
      </c>
      <c r="L45" s="35" t="s">
        <v>65</v>
      </c>
      <c r="M45" s="34" t="s">
        <v>66</v>
      </c>
      <c r="N45" s="36">
        <f t="shared" si="21"/>
        <v>61050.000000000007</v>
      </c>
      <c r="O45" s="31">
        <f t="shared" si="14"/>
        <v>1221000.0000000002</v>
      </c>
      <c r="Q45" s="4">
        <v>3</v>
      </c>
      <c r="R45" s="35" t="s">
        <v>97</v>
      </c>
      <c r="S45" s="35">
        <v>20</v>
      </c>
      <c r="T45" s="35" t="s">
        <v>65</v>
      </c>
      <c r="U45" s="34" t="s">
        <v>66</v>
      </c>
      <c r="V45" s="36">
        <f t="shared" si="15"/>
        <v>61050.000000000007</v>
      </c>
      <c r="W45" s="31">
        <f t="shared" si="16"/>
        <v>1221000.0000000002</v>
      </c>
      <c r="Y45" s="4">
        <v>3</v>
      </c>
      <c r="Z45" s="35" t="s">
        <v>97</v>
      </c>
      <c r="AA45" s="35">
        <v>20</v>
      </c>
      <c r="AB45" s="35" t="s">
        <v>65</v>
      </c>
      <c r="AC45" s="34" t="s">
        <v>66</v>
      </c>
      <c r="AD45" s="36">
        <f t="shared" si="17"/>
        <v>63824.999999999993</v>
      </c>
      <c r="AE45" s="31">
        <f t="shared" si="18"/>
        <v>1276499.9999999998</v>
      </c>
      <c r="AG45" s="4">
        <v>3</v>
      </c>
      <c r="AH45" s="35" t="s">
        <v>97</v>
      </c>
      <c r="AI45" s="35">
        <v>20</v>
      </c>
      <c r="AJ45" s="35" t="s">
        <v>65</v>
      </c>
      <c r="AK45" s="34" t="s">
        <v>66</v>
      </c>
      <c r="AL45" s="36">
        <f t="shared" si="19"/>
        <v>63824.999999999993</v>
      </c>
      <c r="AM45" s="31">
        <f t="shared" si="20"/>
        <v>1276499.9999999998</v>
      </c>
    </row>
    <row r="46" spans="1:39" x14ac:dyDescent="0.45">
      <c r="A46" s="4">
        <v>4</v>
      </c>
      <c r="B46" s="35" t="s">
        <v>69</v>
      </c>
      <c r="C46" s="35">
        <v>30</v>
      </c>
      <c r="D46" s="35" t="s">
        <v>65</v>
      </c>
      <c r="E46" s="35" t="s">
        <v>25</v>
      </c>
      <c r="F46" s="36">
        <v>50000</v>
      </c>
      <c r="G46" s="31">
        <f t="shared" si="22"/>
        <v>1500000</v>
      </c>
      <c r="I46" s="4">
        <v>4</v>
      </c>
      <c r="J46" s="35" t="s">
        <v>69</v>
      </c>
      <c r="K46" s="35">
        <v>30</v>
      </c>
      <c r="L46" s="35" t="s">
        <v>65</v>
      </c>
      <c r="M46" s="35" t="s">
        <v>25</v>
      </c>
      <c r="N46" s="36">
        <f t="shared" si="21"/>
        <v>55000.000000000007</v>
      </c>
      <c r="O46" s="31">
        <f t="shared" si="14"/>
        <v>1650000.0000000002</v>
      </c>
      <c r="Q46" s="4">
        <v>4</v>
      </c>
      <c r="R46" s="35" t="s">
        <v>69</v>
      </c>
      <c r="S46" s="35">
        <v>30</v>
      </c>
      <c r="T46" s="35" t="s">
        <v>65</v>
      </c>
      <c r="U46" s="35" t="s">
        <v>25</v>
      </c>
      <c r="V46" s="36">
        <f t="shared" si="15"/>
        <v>55000.000000000007</v>
      </c>
      <c r="W46" s="31">
        <f t="shared" si="16"/>
        <v>1650000.0000000002</v>
      </c>
      <c r="Y46" s="4">
        <v>4</v>
      </c>
      <c r="Z46" s="35" t="s">
        <v>69</v>
      </c>
      <c r="AA46" s="35">
        <v>30</v>
      </c>
      <c r="AB46" s="35" t="s">
        <v>65</v>
      </c>
      <c r="AC46" s="35" t="s">
        <v>25</v>
      </c>
      <c r="AD46" s="36">
        <f t="shared" si="17"/>
        <v>57499.999999999993</v>
      </c>
      <c r="AE46" s="31">
        <f t="shared" si="18"/>
        <v>1724999.9999999998</v>
      </c>
      <c r="AG46" s="4">
        <v>4</v>
      </c>
      <c r="AH46" s="35" t="s">
        <v>69</v>
      </c>
      <c r="AI46" s="35">
        <v>30</v>
      </c>
      <c r="AJ46" s="35" t="s">
        <v>65</v>
      </c>
      <c r="AK46" s="35" t="s">
        <v>25</v>
      </c>
      <c r="AL46" s="36">
        <f t="shared" si="19"/>
        <v>57499.999999999993</v>
      </c>
      <c r="AM46" s="31">
        <f t="shared" si="20"/>
        <v>1724999.9999999998</v>
      </c>
    </row>
    <row r="47" spans="1:39" x14ac:dyDescent="0.45">
      <c r="A47" s="4">
        <v>5</v>
      </c>
      <c r="B47" s="35" t="s">
        <v>70</v>
      </c>
      <c r="C47" s="35">
        <v>30</v>
      </c>
      <c r="D47" s="35" t="s">
        <v>65</v>
      </c>
      <c r="E47" s="35" t="s">
        <v>71</v>
      </c>
      <c r="F47" s="36">
        <v>17500</v>
      </c>
      <c r="G47" s="31">
        <f t="shared" si="22"/>
        <v>525000</v>
      </c>
      <c r="I47" s="4">
        <v>5</v>
      </c>
      <c r="J47" s="35" t="s">
        <v>70</v>
      </c>
      <c r="K47" s="35">
        <v>30</v>
      </c>
      <c r="L47" s="35" t="s">
        <v>65</v>
      </c>
      <c r="M47" s="35" t="s">
        <v>71</v>
      </c>
      <c r="N47" s="36">
        <f t="shared" si="21"/>
        <v>19250</v>
      </c>
      <c r="O47" s="31">
        <f t="shared" si="14"/>
        <v>577500</v>
      </c>
      <c r="Q47" s="4">
        <v>5</v>
      </c>
      <c r="R47" s="35" t="s">
        <v>70</v>
      </c>
      <c r="S47" s="35">
        <v>30</v>
      </c>
      <c r="T47" s="35" t="s">
        <v>65</v>
      </c>
      <c r="U47" s="35" t="s">
        <v>71</v>
      </c>
      <c r="V47" s="36">
        <f t="shared" si="15"/>
        <v>19250</v>
      </c>
      <c r="W47" s="31">
        <f t="shared" si="16"/>
        <v>577500</v>
      </c>
      <c r="Y47" s="4">
        <v>5</v>
      </c>
      <c r="Z47" s="35" t="s">
        <v>70</v>
      </c>
      <c r="AA47" s="35">
        <v>30</v>
      </c>
      <c r="AB47" s="35" t="s">
        <v>65</v>
      </c>
      <c r="AC47" s="35" t="s">
        <v>71</v>
      </c>
      <c r="AD47" s="36">
        <f t="shared" si="17"/>
        <v>20125</v>
      </c>
      <c r="AE47" s="31">
        <f t="shared" si="18"/>
        <v>603750</v>
      </c>
      <c r="AG47" s="4">
        <v>5</v>
      </c>
      <c r="AH47" s="35" t="s">
        <v>70</v>
      </c>
      <c r="AI47" s="35">
        <v>30</v>
      </c>
      <c r="AJ47" s="35" t="s">
        <v>65</v>
      </c>
      <c r="AK47" s="35" t="s">
        <v>71</v>
      </c>
      <c r="AL47" s="36">
        <f t="shared" si="19"/>
        <v>20125</v>
      </c>
      <c r="AM47" s="31">
        <f t="shared" si="20"/>
        <v>603750</v>
      </c>
    </row>
    <row r="48" spans="1:39" x14ac:dyDescent="0.45">
      <c r="A48" s="4">
        <v>6</v>
      </c>
      <c r="B48" s="35" t="s">
        <v>72</v>
      </c>
      <c r="C48" s="35">
        <v>3</v>
      </c>
      <c r="D48" s="35" t="s">
        <v>23</v>
      </c>
      <c r="E48" s="35" t="s">
        <v>71</v>
      </c>
      <c r="F48" s="36">
        <v>17500</v>
      </c>
      <c r="G48" s="31">
        <f t="shared" si="22"/>
        <v>52500</v>
      </c>
      <c r="I48" s="4">
        <v>6</v>
      </c>
      <c r="J48" s="35" t="s">
        <v>72</v>
      </c>
      <c r="K48" s="35">
        <v>3</v>
      </c>
      <c r="L48" s="35" t="s">
        <v>23</v>
      </c>
      <c r="M48" s="35" t="s">
        <v>71</v>
      </c>
      <c r="N48" s="36">
        <f t="shared" si="21"/>
        <v>19250</v>
      </c>
      <c r="O48" s="31">
        <f t="shared" si="14"/>
        <v>57750</v>
      </c>
      <c r="Q48" s="4">
        <v>6</v>
      </c>
      <c r="R48" s="35" t="s">
        <v>72</v>
      </c>
      <c r="S48" s="35">
        <v>3</v>
      </c>
      <c r="T48" s="35" t="s">
        <v>23</v>
      </c>
      <c r="U48" s="35" t="s">
        <v>71</v>
      </c>
      <c r="V48" s="36">
        <f t="shared" si="15"/>
        <v>19250</v>
      </c>
      <c r="W48" s="31">
        <f t="shared" si="16"/>
        <v>57750</v>
      </c>
      <c r="Y48" s="4">
        <v>6</v>
      </c>
      <c r="Z48" s="35" t="s">
        <v>72</v>
      </c>
      <c r="AA48" s="35">
        <v>3</v>
      </c>
      <c r="AB48" s="35" t="s">
        <v>23</v>
      </c>
      <c r="AC48" s="35" t="s">
        <v>71</v>
      </c>
      <c r="AD48" s="36">
        <f t="shared" si="17"/>
        <v>20125</v>
      </c>
      <c r="AE48" s="31">
        <f t="shared" si="18"/>
        <v>60375</v>
      </c>
      <c r="AG48" s="4">
        <v>6</v>
      </c>
      <c r="AH48" s="35" t="s">
        <v>72</v>
      </c>
      <c r="AI48" s="35">
        <v>3</v>
      </c>
      <c r="AJ48" s="35" t="s">
        <v>23</v>
      </c>
      <c r="AK48" s="35" t="s">
        <v>71</v>
      </c>
      <c r="AL48" s="36">
        <f t="shared" si="19"/>
        <v>20125</v>
      </c>
      <c r="AM48" s="31">
        <f t="shared" si="20"/>
        <v>60375</v>
      </c>
    </row>
    <row r="49" spans="1:39" x14ac:dyDescent="0.45">
      <c r="A49" s="4">
        <v>7</v>
      </c>
      <c r="B49" s="35" t="s">
        <v>73</v>
      </c>
      <c r="C49" s="35">
        <v>3</v>
      </c>
      <c r="D49" s="35" t="s">
        <v>23</v>
      </c>
      <c r="E49" s="35" t="s">
        <v>71</v>
      </c>
      <c r="F49" s="36">
        <v>17500</v>
      </c>
      <c r="G49" s="31">
        <f t="shared" si="22"/>
        <v>52500</v>
      </c>
      <c r="I49" s="4">
        <v>7</v>
      </c>
      <c r="J49" s="35" t="s">
        <v>73</v>
      </c>
      <c r="K49" s="35">
        <v>3</v>
      </c>
      <c r="L49" s="35" t="s">
        <v>23</v>
      </c>
      <c r="M49" s="35" t="s">
        <v>71</v>
      </c>
      <c r="N49" s="36">
        <f t="shared" si="21"/>
        <v>19250</v>
      </c>
      <c r="O49" s="31">
        <f t="shared" si="14"/>
        <v>57750</v>
      </c>
      <c r="Q49" s="4">
        <v>7</v>
      </c>
      <c r="R49" s="35" t="s">
        <v>73</v>
      </c>
      <c r="S49" s="35">
        <v>3</v>
      </c>
      <c r="T49" s="35" t="s">
        <v>23</v>
      </c>
      <c r="U49" s="35" t="s">
        <v>71</v>
      </c>
      <c r="V49" s="36">
        <f t="shared" si="15"/>
        <v>19250</v>
      </c>
      <c r="W49" s="31">
        <f t="shared" si="16"/>
        <v>57750</v>
      </c>
      <c r="Y49" s="4">
        <v>7</v>
      </c>
      <c r="Z49" s="35" t="s">
        <v>73</v>
      </c>
      <c r="AA49" s="35">
        <v>3</v>
      </c>
      <c r="AB49" s="35" t="s">
        <v>23</v>
      </c>
      <c r="AC49" s="35" t="s">
        <v>71</v>
      </c>
      <c r="AD49" s="36">
        <f t="shared" si="17"/>
        <v>20125</v>
      </c>
      <c r="AE49" s="31">
        <f t="shared" si="18"/>
        <v>60375</v>
      </c>
      <c r="AG49" s="4">
        <v>7</v>
      </c>
      <c r="AH49" s="35" t="s">
        <v>73</v>
      </c>
      <c r="AI49" s="35">
        <v>3</v>
      </c>
      <c r="AJ49" s="35" t="s">
        <v>23</v>
      </c>
      <c r="AK49" s="35" t="s">
        <v>71</v>
      </c>
      <c r="AL49" s="36">
        <f t="shared" si="19"/>
        <v>20125</v>
      </c>
      <c r="AM49" s="31">
        <f t="shared" si="20"/>
        <v>60375</v>
      </c>
    </row>
    <row r="50" spans="1:39" x14ac:dyDescent="0.45">
      <c r="A50" s="4">
        <v>8</v>
      </c>
      <c r="B50" s="35" t="s">
        <v>74</v>
      </c>
      <c r="C50" s="35">
        <v>30</v>
      </c>
      <c r="D50" s="35" t="s">
        <v>65</v>
      </c>
      <c r="E50" s="35" t="s">
        <v>25</v>
      </c>
      <c r="F50" s="36">
        <v>65000</v>
      </c>
      <c r="G50" s="31">
        <f t="shared" si="22"/>
        <v>1950000</v>
      </c>
      <c r="I50" s="4">
        <v>8</v>
      </c>
      <c r="J50" s="35" t="s">
        <v>74</v>
      </c>
      <c r="K50" s="35">
        <v>30</v>
      </c>
      <c r="L50" s="35" t="s">
        <v>65</v>
      </c>
      <c r="M50" s="35" t="s">
        <v>25</v>
      </c>
      <c r="N50" s="36">
        <f t="shared" si="21"/>
        <v>71500</v>
      </c>
      <c r="O50" s="31">
        <f t="shared" si="14"/>
        <v>2145000</v>
      </c>
      <c r="Q50" s="4">
        <v>8</v>
      </c>
      <c r="R50" s="35" t="s">
        <v>74</v>
      </c>
      <c r="S50" s="35">
        <v>30</v>
      </c>
      <c r="T50" s="35" t="s">
        <v>65</v>
      </c>
      <c r="U50" s="35" t="s">
        <v>25</v>
      </c>
      <c r="V50" s="36">
        <f t="shared" si="15"/>
        <v>71500</v>
      </c>
      <c r="W50" s="31">
        <f t="shared" si="16"/>
        <v>2145000</v>
      </c>
      <c r="Y50" s="4">
        <v>8</v>
      </c>
      <c r="Z50" s="35" t="s">
        <v>74</v>
      </c>
      <c r="AA50" s="35">
        <v>30</v>
      </c>
      <c r="AB50" s="35" t="s">
        <v>65</v>
      </c>
      <c r="AC50" s="35" t="s">
        <v>25</v>
      </c>
      <c r="AD50" s="36">
        <f t="shared" si="17"/>
        <v>74750</v>
      </c>
      <c r="AE50" s="31">
        <f t="shared" si="18"/>
        <v>2242500</v>
      </c>
      <c r="AG50" s="4">
        <v>8</v>
      </c>
      <c r="AH50" s="35" t="s">
        <v>74</v>
      </c>
      <c r="AI50" s="35">
        <v>30</v>
      </c>
      <c r="AJ50" s="35" t="s">
        <v>65</v>
      </c>
      <c r="AK50" s="35" t="s">
        <v>25</v>
      </c>
      <c r="AL50" s="36">
        <f t="shared" si="19"/>
        <v>74750</v>
      </c>
      <c r="AM50" s="31">
        <f t="shared" si="20"/>
        <v>2242500</v>
      </c>
    </row>
    <row r="51" spans="1:39" x14ac:dyDescent="0.45">
      <c r="B51" s="42"/>
      <c r="C51" s="42"/>
      <c r="D51" s="42"/>
      <c r="E51" s="42"/>
      <c r="F51" s="43"/>
      <c r="G51" s="44"/>
      <c r="J51" s="42"/>
      <c r="K51" s="42"/>
      <c r="L51" s="42"/>
      <c r="M51" s="42"/>
      <c r="N51" s="43"/>
      <c r="O51" s="44"/>
      <c r="R51" s="42"/>
      <c r="S51" s="42"/>
      <c r="T51" s="42"/>
      <c r="U51" s="42"/>
      <c r="V51" s="43"/>
      <c r="W51" s="44"/>
      <c r="Z51" s="42"/>
      <c r="AA51" s="42"/>
      <c r="AB51" s="42"/>
      <c r="AC51" s="42"/>
      <c r="AD51" s="43"/>
      <c r="AE51" s="44"/>
      <c r="AH51" s="42"/>
      <c r="AI51" s="42"/>
      <c r="AJ51" s="42"/>
      <c r="AK51" s="42"/>
      <c r="AL51" s="43"/>
      <c r="AM51" s="44"/>
    </row>
    <row r="52" spans="1:39" x14ac:dyDescent="0.45">
      <c r="A52" s="45" t="s">
        <v>75</v>
      </c>
      <c r="B52" s="46" t="s">
        <v>76</v>
      </c>
      <c r="C52" s="47">
        <v>1</v>
      </c>
      <c r="D52" s="47" t="s">
        <v>16</v>
      </c>
      <c r="E52" s="47"/>
      <c r="F52" s="48">
        <v>1000000</v>
      </c>
      <c r="G52" s="48">
        <f>C52*F52</f>
        <v>1000000</v>
      </c>
      <c r="I52" s="45" t="s">
        <v>75</v>
      </c>
      <c r="J52" s="46" t="s">
        <v>77</v>
      </c>
      <c r="K52" s="47">
        <v>1</v>
      </c>
      <c r="L52" s="47" t="s">
        <v>16</v>
      </c>
      <c r="M52" s="47"/>
      <c r="N52" s="48">
        <f>F52*$M$5</f>
        <v>1100000</v>
      </c>
      <c r="O52" s="48">
        <f>K52*N52</f>
        <v>1100000</v>
      </c>
      <c r="Q52" s="45" t="s">
        <v>75</v>
      </c>
      <c r="R52" s="46" t="s">
        <v>78</v>
      </c>
      <c r="S52" s="47">
        <v>1</v>
      </c>
      <c r="T52" s="47" t="s">
        <v>16</v>
      </c>
      <c r="U52" s="47"/>
      <c r="V52" s="48">
        <f>F52*$U$5</f>
        <v>1100000</v>
      </c>
      <c r="W52" s="48">
        <f>S52*V52</f>
        <v>1100000</v>
      </c>
      <c r="Y52" s="45" t="s">
        <v>75</v>
      </c>
      <c r="Z52" s="46" t="s">
        <v>79</v>
      </c>
      <c r="AA52" s="47">
        <v>1</v>
      </c>
      <c r="AB52" s="47" t="s">
        <v>16</v>
      </c>
      <c r="AC52" s="47"/>
      <c r="AD52" s="48">
        <f>F52*$AC$5</f>
        <v>1150000</v>
      </c>
      <c r="AE52" s="48">
        <f>AA52*AD52</f>
        <v>1150000</v>
      </c>
      <c r="AG52" s="45" t="s">
        <v>75</v>
      </c>
      <c r="AH52" s="46" t="s">
        <v>80</v>
      </c>
      <c r="AI52" s="47">
        <v>1</v>
      </c>
      <c r="AJ52" s="47" t="s">
        <v>16</v>
      </c>
      <c r="AK52" s="47"/>
      <c r="AL52" s="48">
        <f>F52*$AK$5</f>
        <v>1150000</v>
      </c>
      <c r="AM52" s="48">
        <f>AI52*AL52</f>
        <v>1150000</v>
      </c>
    </row>
    <row r="53" spans="1:39" s="51" customFormat="1" x14ac:dyDescent="0.45">
      <c r="A53" s="49"/>
      <c r="B53" s="50"/>
      <c r="C53" s="35"/>
      <c r="D53" s="35"/>
      <c r="E53" s="35"/>
      <c r="F53" s="36"/>
      <c r="G53" s="36"/>
      <c r="I53" s="49"/>
      <c r="J53" s="50"/>
      <c r="K53" s="35"/>
      <c r="L53" s="35"/>
      <c r="M53" s="35"/>
      <c r="N53" s="36"/>
      <c r="O53" s="36"/>
      <c r="Q53" s="49"/>
      <c r="R53" s="50"/>
      <c r="S53" s="35"/>
      <c r="T53" s="35"/>
      <c r="U53" s="35"/>
      <c r="V53" s="36"/>
      <c r="W53" s="36"/>
      <c r="Y53" s="49"/>
      <c r="Z53" s="50"/>
      <c r="AA53" s="35"/>
      <c r="AB53" s="35"/>
      <c r="AC53" s="35"/>
      <c r="AD53" s="36"/>
      <c r="AE53" s="36"/>
      <c r="AG53" s="49"/>
      <c r="AH53" s="50"/>
      <c r="AI53" s="35"/>
      <c r="AJ53" s="35"/>
      <c r="AK53" s="35"/>
      <c r="AL53" s="36"/>
      <c r="AM53" s="36"/>
    </row>
    <row r="54" spans="1:39" x14ac:dyDescent="0.45">
      <c r="F54" s="52" t="s">
        <v>81</v>
      </c>
      <c r="G54" s="52">
        <f>G8+G13+G20+G26+G42+G52</f>
        <v>69147980</v>
      </c>
      <c r="N54" s="52" t="s">
        <v>81</v>
      </c>
      <c r="O54" s="52">
        <f>O8+O13+O20+O26+O42+O52</f>
        <v>75073978</v>
      </c>
      <c r="V54" s="52" t="s">
        <v>81</v>
      </c>
      <c r="W54" s="52">
        <f>W8+W13+W20+W26+W42+W52</f>
        <v>75073978</v>
      </c>
      <c r="AD54" s="52" t="s">
        <v>81</v>
      </c>
      <c r="AE54" s="52">
        <f>AE8+AE13+AE20+AE26+AE42+AE52</f>
        <v>77786977</v>
      </c>
      <c r="AL54" s="52" t="s">
        <v>81</v>
      </c>
      <c r="AM54" s="52">
        <f>AM8+AM13+AM20+AM26+AM42+AM52</f>
        <v>78286977</v>
      </c>
    </row>
    <row r="55" spans="1:39" x14ac:dyDescent="0.45">
      <c r="F55" s="53" t="s">
        <v>82</v>
      </c>
      <c r="G55" s="53">
        <f>G54*11%</f>
        <v>7606277.7999999998</v>
      </c>
      <c r="N55" s="53" t="s">
        <v>82</v>
      </c>
      <c r="O55" s="53">
        <f>O54*11%</f>
        <v>8258137.5800000001</v>
      </c>
      <c r="V55" s="53" t="s">
        <v>82</v>
      </c>
      <c r="W55" s="53">
        <f>W54*11%</f>
        <v>8258137.5800000001</v>
      </c>
      <c r="AD55" s="53" t="s">
        <v>82</v>
      </c>
      <c r="AE55" s="53">
        <f>AE54*11%</f>
        <v>8556567.4700000007</v>
      </c>
      <c r="AL55" s="53" t="s">
        <v>82</v>
      </c>
      <c r="AM55" s="53">
        <f>AM54*11%</f>
        <v>8611567.4700000007</v>
      </c>
    </row>
    <row r="56" spans="1:39" x14ac:dyDescent="0.45">
      <c r="F56" s="54" t="s">
        <v>83</v>
      </c>
      <c r="G56" s="54">
        <f>G54+G55</f>
        <v>76754257.799999997</v>
      </c>
      <c r="N56" s="54" t="s">
        <v>83</v>
      </c>
      <c r="O56" s="54">
        <f>O54+O55</f>
        <v>83332115.579999998</v>
      </c>
      <c r="V56" s="54" t="s">
        <v>83</v>
      </c>
      <c r="W56" s="54">
        <f>W54+W55</f>
        <v>83332115.579999998</v>
      </c>
      <c r="AD56" s="54" t="s">
        <v>83</v>
      </c>
      <c r="AE56" s="54">
        <f>AE54+AE55</f>
        <v>86343544.469999999</v>
      </c>
      <c r="AL56" s="54" t="s">
        <v>83</v>
      </c>
      <c r="AM56" s="54">
        <f>AM54+AM55</f>
        <v>86898544.469999999</v>
      </c>
    </row>
    <row r="57" spans="1:39" s="55" customFormat="1" x14ac:dyDescent="0.45">
      <c r="A57" s="16"/>
      <c r="B57" s="16"/>
      <c r="C57" s="16"/>
      <c r="D57" s="16"/>
      <c r="E57" s="16"/>
    </row>
  </sheetData>
  <mergeCells count="25">
    <mergeCell ref="AL5:AM5"/>
    <mergeCell ref="C6:D6"/>
    <mergeCell ref="K6:L6"/>
    <mergeCell ref="S6:T6"/>
    <mergeCell ref="AA6:AB6"/>
    <mergeCell ref="AI6:AJ6"/>
    <mergeCell ref="AD5:AE5"/>
    <mergeCell ref="F5:G5"/>
    <mergeCell ref="N5:O5"/>
    <mergeCell ref="V5:W5"/>
    <mergeCell ref="Y1:Z1"/>
    <mergeCell ref="Y3:AB3"/>
    <mergeCell ref="AG1:AH1"/>
    <mergeCell ref="AG3:AI3"/>
    <mergeCell ref="A7:D7"/>
    <mergeCell ref="I7:L7"/>
    <mergeCell ref="Q7:T7"/>
    <mergeCell ref="Y7:AB7"/>
    <mergeCell ref="AG7:AJ7"/>
    <mergeCell ref="A1:B1"/>
    <mergeCell ref="A3:D3"/>
    <mergeCell ref="I1:J1"/>
    <mergeCell ref="I3:L3"/>
    <mergeCell ref="Q1:R1"/>
    <mergeCell ref="Q3:T3"/>
  </mergeCells>
  <pageMargins left="0.35433070866141736" right="0.23622047244094491" top="0.74803149606299213" bottom="0.74803149606299213" header="0.31496062992125984" footer="0.31496062992125984"/>
  <pageSetup paperSize="9" scale="4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7C88-E5E1-4B32-B8EF-7C82D76819C0}">
  <sheetPr>
    <tabColor rgb="FF92D050"/>
  </sheetPr>
  <dimension ref="A1:AM57"/>
  <sheetViews>
    <sheetView tabSelected="1" topLeftCell="AE1" zoomScale="85" zoomScaleNormal="85" zoomScaleSheetLayoutView="100" workbookViewId="0">
      <selection activeCell="AO11" sqref="AO11"/>
    </sheetView>
  </sheetViews>
  <sheetFormatPr defaultColWidth="8.73046875" defaultRowHeight="13.15" x14ac:dyDescent="0.45"/>
  <cols>
    <col min="1" max="1" width="6.73046875" style="16" customWidth="1"/>
    <col min="2" max="2" width="71.19921875" style="16" customWidth="1"/>
    <col min="3" max="3" width="11" style="16" customWidth="1"/>
    <col min="4" max="4" width="6.73046875" style="16" customWidth="1"/>
    <col min="5" max="5" width="23.33203125" style="16" bestFit="1" customWidth="1"/>
    <col min="6" max="6" width="23.59765625" style="16" bestFit="1" customWidth="1"/>
    <col min="7" max="7" width="21.265625" style="16" bestFit="1" customWidth="1"/>
    <col min="8" max="8" width="8.73046875" style="16"/>
    <col min="9" max="9" width="6.73046875" style="16" customWidth="1"/>
    <col min="10" max="10" width="71.19921875" style="16" customWidth="1"/>
    <col min="11" max="11" width="11" style="16" customWidth="1"/>
    <col min="12" max="12" width="6.73046875" style="16" customWidth="1"/>
    <col min="13" max="13" width="23.33203125" style="16" bestFit="1" customWidth="1"/>
    <col min="14" max="14" width="23.59765625" style="16" bestFit="1" customWidth="1"/>
    <col min="15" max="15" width="21.265625" style="16" bestFit="1" customWidth="1"/>
    <col min="16" max="16" width="8.73046875" style="16"/>
    <col min="17" max="17" width="6.73046875" style="16" customWidth="1"/>
    <col min="18" max="18" width="71.19921875" style="16" customWidth="1"/>
    <col min="19" max="19" width="11" style="16" customWidth="1"/>
    <col min="20" max="20" width="6.73046875" style="16" customWidth="1"/>
    <col min="21" max="21" width="23.33203125" style="16" bestFit="1" customWidth="1"/>
    <col min="22" max="22" width="23.59765625" style="16" bestFit="1" customWidth="1"/>
    <col min="23" max="23" width="21.265625" style="16" bestFit="1" customWidth="1"/>
    <col min="24" max="24" width="8.73046875" style="16"/>
    <col min="25" max="25" width="6.73046875" style="16" customWidth="1"/>
    <col min="26" max="26" width="71.19921875" style="16" customWidth="1"/>
    <col min="27" max="27" width="11" style="16" customWidth="1"/>
    <col min="28" max="28" width="6.73046875" style="16" customWidth="1"/>
    <col min="29" max="29" width="23.33203125" style="16" bestFit="1" customWidth="1"/>
    <col min="30" max="30" width="23.59765625" style="16" bestFit="1" customWidth="1"/>
    <col min="31" max="31" width="21.265625" style="16" bestFit="1" customWidth="1"/>
    <col min="32" max="32" width="8.73046875" style="16"/>
    <col min="33" max="33" width="6.73046875" style="16" customWidth="1"/>
    <col min="34" max="34" width="71.19921875" style="16" customWidth="1"/>
    <col min="35" max="35" width="11" style="16" customWidth="1"/>
    <col min="36" max="36" width="6.73046875" style="16" customWidth="1"/>
    <col min="37" max="37" width="23.33203125" style="16" bestFit="1" customWidth="1"/>
    <col min="38" max="38" width="23.59765625" style="16" bestFit="1" customWidth="1"/>
    <col min="39" max="39" width="21.265625" style="16" bestFit="1" customWidth="1"/>
    <col min="40" max="16384" width="8.73046875" style="16"/>
  </cols>
  <sheetData>
    <row r="1" spans="1:39" ht="31.15" customHeight="1" x14ac:dyDescent="0.45">
      <c r="A1" s="101" t="s">
        <v>98</v>
      </c>
      <c r="B1" s="101"/>
      <c r="I1" s="101" t="s">
        <v>98</v>
      </c>
      <c r="J1" s="101"/>
      <c r="Q1" s="101" t="s">
        <v>98</v>
      </c>
      <c r="R1" s="101"/>
      <c r="Y1" s="101" t="s">
        <v>98</v>
      </c>
      <c r="Z1" s="101"/>
      <c r="AG1" s="101" t="s">
        <v>98</v>
      </c>
      <c r="AH1" s="101"/>
    </row>
    <row r="2" spans="1:39" x14ac:dyDescent="0.45">
      <c r="A2" s="17" t="s">
        <v>1</v>
      </c>
      <c r="B2" s="18"/>
      <c r="I2" s="17" t="s">
        <v>1</v>
      </c>
      <c r="J2" s="18"/>
      <c r="Q2" s="17" t="s">
        <v>1</v>
      </c>
      <c r="R2" s="18"/>
      <c r="Y2" s="17" t="s">
        <v>1</v>
      </c>
      <c r="Z2" s="18"/>
      <c r="AG2" s="17" t="s">
        <v>1</v>
      </c>
      <c r="AH2" s="18"/>
    </row>
    <row r="3" spans="1:39" x14ac:dyDescent="0.45">
      <c r="A3" s="102" t="s">
        <v>2</v>
      </c>
      <c r="B3" s="102"/>
      <c r="C3" s="102"/>
      <c r="D3" s="102"/>
      <c r="E3" s="19"/>
      <c r="I3" s="102" t="s">
        <v>2</v>
      </c>
      <c r="J3" s="102"/>
      <c r="K3" s="102"/>
      <c r="L3" s="102"/>
      <c r="Q3" s="102" t="s">
        <v>2</v>
      </c>
      <c r="R3" s="102"/>
      <c r="S3" s="102"/>
      <c r="T3" s="102"/>
      <c r="Y3" s="102" t="s">
        <v>2</v>
      </c>
      <c r="Z3" s="102"/>
      <c r="AA3" s="102"/>
      <c r="AB3" s="102"/>
      <c r="AG3" s="102" t="s">
        <v>2</v>
      </c>
      <c r="AH3" s="102"/>
      <c r="AI3" s="102"/>
      <c r="AJ3" s="102"/>
    </row>
    <row r="4" spans="1:39" x14ac:dyDescent="0.45">
      <c r="B4" s="17"/>
    </row>
    <row r="5" spans="1:39" ht="25.15" customHeight="1" thickBot="1" x14ac:dyDescent="0.5">
      <c r="B5" s="17"/>
      <c r="F5" s="96" t="s">
        <v>3</v>
      </c>
      <c r="G5" s="96"/>
      <c r="J5" s="17"/>
      <c r="M5" s="56">
        <v>1.1000000000000001</v>
      </c>
      <c r="N5" s="96" t="s">
        <v>4</v>
      </c>
      <c r="O5" s="96"/>
      <c r="R5" s="17"/>
      <c r="U5" s="56">
        <v>1.1000000000000001</v>
      </c>
      <c r="V5" s="96" t="s">
        <v>5</v>
      </c>
      <c r="W5" s="96"/>
      <c r="Z5" s="17"/>
      <c r="AC5" s="56">
        <v>1.1499999999999999</v>
      </c>
      <c r="AD5" s="96" t="s">
        <v>6</v>
      </c>
      <c r="AE5" s="96"/>
      <c r="AH5" s="17"/>
      <c r="AK5" s="56">
        <v>1.1499999999999999</v>
      </c>
      <c r="AL5" s="96" t="s">
        <v>7</v>
      </c>
      <c r="AM5" s="96"/>
    </row>
    <row r="6" spans="1:39" s="25" customFormat="1" ht="13.5" thickBot="1" x14ac:dyDescent="0.5">
      <c r="A6" s="20" t="s">
        <v>8</v>
      </c>
      <c r="B6" s="21" t="s">
        <v>9</v>
      </c>
      <c r="C6" s="97" t="s">
        <v>10</v>
      </c>
      <c r="D6" s="98"/>
      <c r="E6" s="22" t="s">
        <v>11</v>
      </c>
      <c r="F6" s="23" t="s">
        <v>12</v>
      </c>
      <c r="G6" s="24" t="s">
        <v>13</v>
      </c>
      <c r="I6" s="20" t="s">
        <v>8</v>
      </c>
      <c r="J6" s="21" t="s">
        <v>9</v>
      </c>
      <c r="K6" s="97" t="s">
        <v>10</v>
      </c>
      <c r="L6" s="98"/>
      <c r="M6" s="22" t="s">
        <v>11</v>
      </c>
      <c r="N6" s="23" t="s">
        <v>12</v>
      </c>
      <c r="O6" s="24" t="s">
        <v>13</v>
      </c>
      <c r="Q6" s="20" t="s">
        <v>8</v>
      </c>
      <c r="R6" s="21" t="s">
        <v>9</v>
      </c>
      <c r="S6" s="97" t="s">
        <v>10</v>
      </c>
      <c r="T6" s="98"/>
      <c r="U6" s="22" t="s">
        <v>11</v>
      </c>
      <c r="V6" s="23" t="s">
        <v>12</v>
      </c>
      <c r="W6" s="24" t="s">
        <v>13</v>
      </c>
      <c r="Y6" s="20" t="s">
        <v>8</v>
      </c>
      <c r="Z6" s="21" t="s">
        <v>9</v>
      </c>
      <c r="AA6" s="97" t="s">
        <v>10</v>
      </c>
      <c r="AB6" s="98"/>
      <c r="AC6" s="22" t="s">
        <v>11</v>
      </c>
      <c r="AD6" s="23" t="s">
        <v>12</v>
      </c>
      <c r="AE6" s="24" t="s">
        <v>13</v>
      </c>
      <c r="AG6" s="20" t="s">
        <v>8</v>
      </c>
      <c r="AH6" s="21" t="s">
        <v>9</v>
      </c>
      <c r="AI6" s="97" t="s">
        <v>10</v>
      </c>
      <c r="AJ6" s="98"/>
      <c r="AK6" s="22" t="s">
        <v>11</v>
      </c>
      <c r="AL6" s="23" t="s">
        <v>12</v>
      </c>
      <c r="AM6" s="24" t="s">
        <v>13</v>
      </c>
    </row>
    <row r="7" spans="1:39" x14ac:dyDescent="0.45">
      <c r="A7" s="99"/>
      <c r="B7" s="100"/>
      <c r="C7" s="100"/>
      <c r="D7" s="100"/>
      <c r="E7" s="26"/>
      <c r="I7" s="99"/>
      <c r="J7" s="100"/>
      <c r="K7" s="100"/>
      <c r="L7" s="100"/>
      <c r="M7" s="26"/>
      <c r="Q7" s="99"/>
      <c r="R7" s="100"/>
      <c r="S7" s="100"/>
      <c r="T7" s="100"/>
      <c r="U7" s="26"/>
      <c r="Y7" s="99"/>
      <c r="Z7" s="100"/>
      <c r="AA7" s="100"/>
      <c r="AB7" s="100"/>
      <c r="AC7" s="26"/>
      <c r="AG7" s="99"/>
      <c r="AH7" s="100"/>
      <c r="AI7" s="100"/>
      <c r="AJ7" s="100"/>
      <c r="AK7" s="26"/>
    </row>
    <row r="8" spans="1:39" x14ac:dyDescent="0.45">
      <c r="A8" s="27" t="s">
        <v>14</v>
      </c>
      <c r="B8" s="28" t="s">
        <v>15</v>
      </c>
      <c r="C8" s="28">
        <v>1</v>
      </c>
      <c r="D8" s="28" t="s">
        <v>16</v>
      </c>
      <c r="E8" s="28"/>
      <c r="F8" s="29"/>
      <c r="G8" s="29">
        <f>SUM(G9:G11)</f>
        <v>18807170</v>
      </c>
      <c r="I8" s="27" t="s">
        <v>14</v>
      </c>
      <c r="J8" s="28" t="s">
        <v>15</v>
      </c>
      <c r="K8" s="28">
        <v>1</v>
      </c>
      <c r="L8" s="28" t="s">
        <v>16</v>
      </c>
      <c r="M8" s="28"/>
      <c r="N8" s="29"/>
      <c r="O8" s="29">
        <f>SUM(O9:O11)</f>
        <v>19473837</v>
      </c>
      <c r="Q8" s="27" t="s">
        <v>14</v>
      </c>
      <c r="R8" s="28" t="s">
        <v>15</v>
      </c>
      <c r="S8" s="28">
        <v>1</v>
      </c>
      <c r="T8" s="28" t="s">
        <v>16</v>
      </c>
      <c r="U8" s="28"/>
      <c r="V8" s="29"/>
      <c r="W8" s="29">
        <f>SUM(W9:W11)</f>
        <v>19473837</v>
      </c>
      <c r="Y8" s="27" t="s">
        <v>14</v>
      </c>
      <c r="Z8" s="28" t="s">
        <v>15</v>
      </c>
      <c r="AA8" s="28">
        <v>1</v>
      </c>
      <c r="AB8" s="28" t="s">
        <v>16</v>
      </c>
      <c r="AC8" s="28"/>
      <c r="AD8" s="29"/>
      <c r="AE8" s="29">
        <f>SUM(AE9:AE11)</f>
        <v>19473837</v>
      </c>
      <c r="AG8" s="27" t="s">
        <v>14</v>
      </c>
      <c r="AH8" s="28" t="s">
        <v>15</v>
      </c>
      <c r="AI8" s="28">
        <v>1</v>
      </c>
      <c r="AJ8" s="28" t="s">
        <v>16</v>
      </c>
      <c r="AK8" s="28"/>
      <c r="AL8" s="29"/>
      <c r="AM8" s="29">
        <f>SUM(AM9:AM11)</f>
        <v>20140504</v>
      </c>
    </row>
    <row r="9" spans="1:39" x14ac:dyDescent="0.45">
      <c r="A9" s="4">
        <v>1</v>
      </c>
      <c r="B9" s="30" t="s">
        <v>17</v>
      </c>
      <c r="C9" s="30">
        <v>131000</v>
      </c>
      <c r="D9" s="30" t="s">
        <v>18</v>
      </c>
      <c r="E9" s="30"/>
      <c r="F9" s="31">
        <v>45</v>
      </c>
      <c r="G9" s="31">
        <f>C9*F9</f>
        <v>5895000</v>
      </c>
      <c r="I9" s="4">
        <v>1</v>
      </c>
      <c r="J9" s="30" t="s">
        <v>17</v>
      </c>
      <c r="K9" s="30">
        <v>131000</v>
      </c>
      <c r="L9" s="30" t="s">
        <v>18</v>
      </c>
      <c r="M9" s="30"/>
      <c r="N9" s="31">
        <f>F9</f>
        <v>45</v>
      </c>
      <c r="O9" s="31">
        <f>K9*N9</f>
        <v>5895000</v>
      </c>
      <c r="Q9" s="4">
        <v>1</v>
      </c>
      <c r="R9" s="30" t="s">
        <v>17</v>
      </c>
      <c r="S9" s="30">
        <v>131000</v>
      </c>
      <c r="T9" s="30" t="s">
        <v>18</v>
      </c>
      <c r="U9" s="30"/>
      <c r="V9" s="31">
        <f>N9</f>
        <v>45</v>
      </c>
      <c r="W9" s="31">
        <f>S9*V9</f>
        <v>5895000</v>
      </c>
      <c r="Y9" s="4">
        <v>1</v>
      </c>
      <c r="Z9" s="30" t="s">
        <v>17</v>
      </c>
      <c r="AA9" s="30">
        <v>131000</v>
      </c>
      <c r="AB9" s="30" t="s">
        <v>18</v>
      </c>
      <c r="AC9" s="30"/>
      <c r="AD9" s="31">
        <f>V9</f>
        <v>45</v>
      </c>
      <c r="AE9" s="31">
        <f>AA9*AD9</f>
        <v>5895000</v>
      </c>
      <c r="AG9" s="4">
        <v>1</v>
      </c>
      <c r="AH9" s="30" t="s">
        <v>17</v>
      </c>
      <c r="AI9" s="30">
        <v>131000</v>
      </c>
      <c r="AJ9" s="30" t="s">
        <v>18</v>
      </c>
      <c r="AK9" s="30"/>
      <c r="AL9" s="31">
        <f>AD9</f>
        <v>45</v>
      </c>
      <c r="AM9" s="31">
        <f>AI9*AL9</f>
        <v>5895000</v>
      </c>
    </row>
    <row r="10" spans="1:39" x14ac:dyDescent="0.45">
      <c r="A10" s="4">
        <v>2</v>
      </c>
      <c r="B10" s="30" t="s">
        <v>19</v>
      </c>
      <c r="C10" s="30">
        <v>131000</v>
      </c>
      <c r="D10" s="30" t="s">
        <v>18</v>
      </c>
      <c r="E10" s="30"/>
      <c r="F10" s="31">
        <v>45</v>
      </c>
      <c r="G10" s="31">
        <f>C10*F10</f>
        <v>5895000</v>
      </c>
      <c r="I10" s="4">
        <v>2</v>
      </c>
      <c r="J10" s="30" t="s">
        <v>19</v>
      </c>
      <c r="K10" s="30">
        <v>131000</v>
      </c>
      <c r="L10" s="30" t="s">
        <v>18</v>
      </c>
      <c r="M10" s="30"/>
      <c r="N10" s="31">
        <f>N9</f>
        <v>45</v>
      </c>
      <c r="O10" s="31">
        <f>K10*N10</f>
        <v>5895000</v>
      </c>
      <c r="Q10" s="4">
        <v>2</v>
      </c>
      <c r="R10" s="30" t="s">
        <v>19</v>
      </c>
      <c r="S10" s="30">
        <v>131000</v>
      </c>
      <c r="T10" s="30" t="s">
        <v>18</v>
      </c>
      <c r="U10" s="30"/>
      <c r="V10" s="31">
        <f>V9</f>
        <v>45</v>
      </c>
      <c r="W10" s="31">
        <f>S10*V10</f>
        <v>5895000</v>
      </c>
      <c r="Y10" s="4">
        <v>2</v>
      </c>
      <c r="Z10" s="30" t="s">
        <v>19</v>
      </c>
      <c r="AA10" s="30">
        <v>131000</v>
      </c>
      <c r="AB10" s="30" t="s">
        <v>18</v>
      </c>
      <c r="AC10" s="30"/>
      <c r="AD10" s="31">
        <f>AD9</f>
        <v>45</v>
      </c>
      <c r="AE10" s="31">
        <f>AA10*AD10</f>
        <v>5895000</v>
      </c>
      <c r="AG10" s="4">
        <v>2</v>
      </c>
      <c r="AH10" s="30" t="s">
        <v>19</v>
      </c>
      <c r="AI10" s="30">
        <v>131000</v>
      </c>
      <c r="AJ10" s="30" t="s">
        <v>18</v>
      </c>
      <c r="AK10" s="30"/>
      <c r="AL10" s="31">
        <f>AL9</f>
        <v>45</v>
      </c>
      <c r="AM10" s="31">
        <f>AI10*AL10</f>
        <v>5895000</v>
      </c>
    </row>
    <row r="11" spans="1:39" x14ac:dyDescent="0.45">
      <c r="A11" s="4">
        <v>3</v>
      </c>
      <c r="B11" s="30" t="s">
        <v>20</v>
      </c>
      <c r="C11" s="30">
        <v>1</v>
      </c>
      <c r="D11" s="30" t="s">
        <v>16</v>
      </c>
      <c r="E11" s="30"/>
      <c r="F11" s="31">
        <v>7017170</v>
      </c>
      <c r="G11" s="31">
        <f>C11*F11</f>
        <v>7017170</v>
      </c>
      <c r="I11" s="4">
        <v>3</v>
      </c>
      <c r="J11" s="30" t="s">
        <v>20</v>
      </c>
      <c r="K11" s="30">
        <v>1</v>
      </c>
      <c r="L11" s="30" t="s">
        <v>16</v>
      </c>
      <c r="M11" s="30"/>
      <c r="N11" s="36">
        <v>7683837</v>
      </c>
      <c r="O11" s="31">
        <f>K11*N11</f>
        <v>7683837</v>
      </c>
      <c r="Q11" s="4">
        <v>3</v>
      </c>
      <c r="R11" s="30" t="s">
        <v>20</v>
      </c>
      <c r="S11" s="30">
        <v>1</v>
      </c>
      <c r="T11" s="30" t="s">
        <v>16</v>
      </c>
      <c r="U11" s="30"/>
      <c r="V11" s="36">
        <v>7683837</v>
      </c>
      <c r="W11" s="31">
        <f>S11*V11</f>
        <v>7683837</v>
      </c>
      <c r="Y11" s="4">
        <v>3</v>
      </c>
      <c r="Z11" s="30" t="s">
        <v>20</v>
      </c>
      <c r="AA11" s="30">
        <v>1</v>
      </c>
      <c r="AB11" s="30" t="s">
        <v>16</v>
      </c>
      <c r="AC11" s="30"/>
      <c r="AD11" s="36">
        <v>7683837</v>
      </c>
      <c r="AE11" s="31">
        <f>AA11*AD11</f>
        <v>7683837</v>
      </c>
      <c r="AG11" s="4">
        <v>3</v>
      </c>
      <c r="AH11" s="30" t="s">
        <v>20</v>
      </c>
      <c r="AI11" s="30">
        <v>1</v>
      </c>
      <c r="AJ11" s="30" t="s">
        <v>16</v>
      </c>
      <c r="AK11" s="30"/>
      <c r="AL11" s="36">
        <v>8350504</v>
      </c>
      <c r="AM11" s="31">
        <f>AI11*AL11</f>
        <v>8350504</v>
      </c>
    </row>
    <row r="12" spans="1:39" x14ac:dyDescent="0.45">
      <c r="A12" s="4"/>
      <c r="B12" s="30"/>
      <c r="C12" s="30"/>
      <c r="D12" s="30"/>
      <c r="E12" s="30"/>
      <c r="F12" s="31"/>
      <c r="G12" s="31"/>
      <c r="I12" s="4"/>
      <c r="J12" s="30"/>
      <c r="K12" s="30"/>
      <c r="L12" s="30"/>
      <c r="M12" s="30"/>
      <c r="N12" s="31"/>
      <c r="O12" s="31"/>
      <c r="Q12" s="4"/>
      <c r="R12" s="30"/>
      <c r="S12" s="30"/>
      <c r="T12" s="30"/>
      <c r="U12" s="30"/>
      <c r="V12" s="31"/>
      <c r="W12" s="31"/>
      <c r="Y12" s="4"/>
      <c r="Z12" s="30"/>
      <c r="AA12" s="30"/>
      <c r="AB12" s="30"/>
      <c r="AC12" s="30"/>
      <c r="AD12" s="31"/>
      <c r="AE12" s="31"/>
      <c r="AG12" s="4"/>
      <c r="AH12" s="30"/>
      <c r="AI12" s="30"/>
      <c r="AJ12" s="30"/>
      <c r="AK12" s="30"/>
      <c r="AL12" s="31"/>
      <c r="AM12" s="31"/>
    </row>
    <row r="13" spans="1:39" x14ac:dyDescent="0.45">
      <c r="A13" s="27" t="s">
        <v>21</v>
      </c>
      <c r="B13" s="28" t="s">
        <v>22</v>
      </c>
      <c r="C13" s="32">
        <v>1</v>
      </c>
      <c r="D13" s="32" t="s">
        <v>23</v>
      </c>
      <c r="E13" s="32"/>
      <c r="F13" s="33"/>
      <c r="G13" s="29">
        <f>SUM(G14:G18)</f>
        <v>26100000</v>
      </c>
      <c r="I13" s="27" t="s">
        <v>21</v>
      </c>
      <c r="J13" s="28" t="s">
        <v>22</v>
      </c>
      <c r="K13" s="32">
        <v>1</v>
      </c>
      <c r="L13" s="32" t="s">
        <v>23</v>
      </c>
      <c r="M13" s="32"/>
      <c r="N13" s="33"/>
      <c r="O13" s="29">
        <f>SUM(O14:O18)</f>
        <v>28710000</v>
      </c>
      <c r="Q13" s="27" t="s">
        <v>21</v>
      </c>
      <c r="R13" s="28" t="s">
        <v>22</v>
      </c>
      <c r="S13" s="32">
        <v>1</v>
      </c>
      <c r="T13" s="32" t="s">
        <v>23</v>
      </c>
      <c r="U13" s="32"/>
      <c r="V13" s="33"/>
      <c r="W13" s="29">
        <f>SUM(W14:W18)</f>
        <v>28710000</v>
      </c>
      <c r="Y13" s="27" t="s">
        <v>21</v>
      </c>
      <c r="Z13" s="28" t="s">
        <v>22</v>
      </c>
      <c r="AA13" s="32">
        <v>1</v>
      </c>
      <c r="AB13" s="32" t="s">
        <v>23</v>
      </c>
      <c r="AC13" s="32"/>
      <c r="AD13" s="33"/>
      <c r="AE13" s="29">
        <f>SUM(AE14:AE18)</f>
        <v>30015000</v>
      </c>
      <c r="AG13" s="27" t="s">
        <v>21</v>
      </c>
      <c r="AH13" s="28" t="s">
        <v>22</v>
      </c>
      <c r="AI13" s="32">
        <v>1</v>
      </c>
      <c r="AJ13" s="32" t="s">
        <v>23</v>
      </c>
      <c r="AK13" s="32"/>
      <c r="AL13" s="33"/>
      <c r="AM13" s="29">
        <f>SUM(AM14:AM18)</f>
        <v>30015000</v>
      </c>
    </row>
    <row r="14" spans="1:39" ht="26.25" x14ac:dyDescent="0.45">
      <c r="A14" s="4">
        <v>1</v>
      </c>
      <c r="B14" s="34" t="s">
        <v>92</v>
      </c>
      <c r="C14" s="35">
        <v>1</v>
      </c>
      <c r="D14" s="35" t="s">
        <v>23</v>
      </c>
      <c r="E14" s="35" t="s">
        <v>25</v>
      </c>
      <c r="F14" s="36">
        <v>11000000</v>
      </c>
      <c r="G14" s="31">
        <f>C14*F14</f>
        <v>11000000</v>
      </c>
      <c r="I14" s="4">
        <v>1</v>
      </c>
      <c r="J14" s="34" t="s">
        <v>92</v>
      </c>
      <c r="K14" s="35">
        <v>1</v>
      </c>
      <c r="L14" s="35" t="s">
        <v>23</v>
      </c>
      <c r="M14" s="35" t="s">
        <v>25</v>
      </c>
      <c r="N14" s="36">
        <f>F14*$M$5</f>
        <v>12100000.000000002</v>
      </c>
      <c r="O14" s="31">
        <f>K14*N14</f>
        <v>12100000.000000002</v>
      </c>
      <c r="Q14" s="4">
        <v>1</v>
      </c>
      <c r="R14" s="34" t="s">
        <v>92</v>
      </c>
      <c r="S14" s="35">
        <v>1</v>
      </c>
      <c r="T14" s="35" t="s">
        <v>23</v>
      </c>
      <c r="U14" s="35" t="s">
        <v>25</v>
      </c>
      <c r="V14" s="36">
        <f>F14*$U$5</f>
        <v>12100000.000000002</v>
      </c>
      <c r="W14" s="31">
        <f>S14*V14</f>
        <v>12100000.000000002</v>
      </c>
      <c r="Y14" s="4">
        <v>1</v>
      </c>
      <c r="Z14" s="34" t="s">
        <v>92</v>
      </c>
      <c r="AA14" s="35">
        <v>1</v>
      </c>
      <c r="AB14" s="35" t="s">
        <v>23</v>
      </c>
      <c r="AC14" s="35" t="s">
        <v>25</v>
      </c>
      <c r="AD14" s="36">
        <f>F14*$AC$5</f>
        <v>12649999.999999998</v>
      </c>
      <c r="AE14" s="31">
        <f>AA14*AD14</f>
        <v>12649999.999999998</v>
      </c>
      <c r="AG14" s="4">
        <v>1</v>
      </c>
      <c r="AH14" s="34" t="s">
        <v>92</v>
      </c>
      <c r="AI14" s="35">
        <v>1</v>
      </c>
      <c r="AJ14" s="35" t="s">
        <v>23</v>
      </c>
      <c r="AK14" s="35" t="s">
        <v>25</v>
      </c>
      <c r="AL14" s="36">
        <f>F14*$AK$5</f>
        <v>12649999.999999998</v>
      </c>
      <c r="AM14" s="31">
        <f>AI14*AL14</f>
        <v>12649999.999999998</v>
      </c>
    </row>
    <row r="15" spans="1:39" x14ac:dyDescent="0.45">
      <c r="A15" s="4">
        <v>2</v>
      </c>
      <c r="B15" s="30" t="s">
        <v>26</v>
      </c>
      <c r="C15" s="35">
        <v>1</v>
      </c>
      <c r="D15" s="35" t="s">
        <v>23</v>
      </c>
      <c r="E15" s="35" t="s">
        <v>25</v>
      </c>
      <c r="F15" s="31">
        <v>1500000</v>
      </c>
      <c r="G15" s="31">
        <f>C15*F15</f>
        <v>1500000</v>
      </c>
      <c r="I15" s="4">
        <v>2</v>
      </c>
      <c r="J15" s="30" t="s">
        <v>26</v>
      </c>
      <c r="K15" s="35">
        <v>1</v>
      </c>
      <c r="L15" s="35" t="s">
        <v>23</v>
      </c>
      <c r="M15" s="35" t="s">
        <v>25</v>
      </c>
      <c r="N15" s="36">
        <f>F15*$M$5</f>
        <v>1650000.0000000002</v>
      </c>
      <c r="O15" s="31">
        <f>K15*N15</f>
        <v>1650000.0000000002</v>
      </c>
      <c r="Q15" s="4">
        <v>2</v>
      </c>
      <c r="R15" s="30" t="s">
        <v>26</v>
      </c>
      <c r="S15" s="35">
        <v>1</v>
      </c>
      <c r="T15" s="35" t="s">
        <v>23</v>
      </c>
      <c r="U15" s="35" t="s">
        <v>25</v>
      </c>
      <c r="V15" s="36">
        <f>F15*$U$5</f>
        <v>1650000.0000000002</v>
      </c>
      <c r="W15" s="31">
        <f>S15*V15</f>
        <v>1650000.0000000002</v>
      </c>
      <c r="Y15" s="4">
        <v>2</v>
      </c>
      <c r="Z15" s="30" t="s">
        <v>26</v>
      </c>
      <c r="AA15" s="35">
        <v>1</v>
      </c>
      <c r="AB15" s="35" t="s">
        <v>23</v>
      </c>
      <c r="AC15" s="35" t="s">
        <v>25</v>
      </c>
      <c r="AD15" s="36">
        <f>F15*$AC$5</f>
        <v>1724999.9999999998</v>
      </c>
      <c r="AE15" s="31">
        <f>AA15*AD15</f>
        <v>1724999.9999999998</v>
      </c>
      <c r="AG15" s="4">
        <v>2</v>
      </c>
      <c r="AH15" s="30" t="s">
        <v>26</v>
      </c>
      <c r="AI15" s="35">
        <v>1</v>
      </c>
      <c r="AJ15" s="35" t="s">
        <v>23</v>
      </c>
      <c r="AK15" s="35" t="s">
        <v>25</v>
      </c>
      <c r="AL15" s="36">
        <f>F15*$AK$5</f>
        <v>1724999.9999999998</v>
      </c>
      <c r="AM15" s="31">
        <f>AI15*AL15</f>
        <v>1724999.9999999998</v>
      </c>
    </row>
    <row r="16" spans="1:39" x14ac:dyDescent="0.45">
      <c r="A16" s="4">
        <v>3</v>
      </c>
      <c r="B16" s="35" t="s">
        <v>93</v>
      </c>
      <c r="C16" s="35">
        <v>1</v>
      </c>
      <c r="D16" s="35" t="s">
        <v>23</v>
      </c>
      <c r="E16" s="35" t="s">
        <v>25</v>
      </c>
      <c r="F16" s="36">
        <v>10000000</v>
      </c>
      <c r="G16" s="31">
        <f>C16*F16</f>
        <v>10000000</v>
      </c>
      <c r="I16" s="4">
        <v>3</v>
      </c>
      <c r="J16" s="35" t="s">
        <v>93</v>
      </c>
      <c r="K16" s="35">
        <v>1</v>
      </c>
      <c r="L16" s="35" t="s">
        <v>23</v>
      </c>
      <c r="M16" s="35" t="s">
        <v>25</v>
      </c>
      <c r="N16" s="36">
        <f>F16*$M$5</f>
        <v>11000000</v>
      </c>
      <c r="O16" s="31">
        <f>K16*N16</f>
        <v>11000000</v>
      </c>
      <c r="Q16" s="4">
        <v>3</v>
      </c>
      <c r="R16" s="35" t="s">
        <v>93</v>
      </c>
      <c r="S16" s="35">
        <v>1</v>
      </c>
      <c r="T16" s="35" t="s">
        <v>23</v>
      </c>
      <c r="U16" s="35" t="s">
        <v>25</v>
      </c>
      <c r="V16" s="36">
        <f>F16*$U$5</f>
        <v>11000000</v>
      </c>
      <c r="W16" s="31">
        <f>S16*V16</f>
        <v>11000000</v>
      </c>
      <c r="Y16" s="4">
        <v>3</v>
      </c>
      <c r="Z16" s="35" t="s">
        <v>93</v>
      </c>
      <c r="AA16" s="35">
        <v>1</v>
      </c>
      <c r="AB16" s="35" t="s">
        <v>23</v>
      </c>
      <c r="AC16" s="35" t="s">
        <v>25</v>
      </c>
      <c r="AD16" s="36">
        <f>F16*$AC$5</f>
        <v>11500000</v>
      </c>
      <c r="AE16" s="31">
        <f>AA16*AD16</f>
        <v>11500000</v>
      </c>
      <c r="AG16" s="4">
        <v>3</v>
      </c>
      <c r="AH16" s="35" t="s">
        <v>93</v>
      </c>
      <c r="AI16" s="35">
        <v>1</v>
      </c>
      <c r="AJ16" s="35" t="s">
        <v>23</v>
      </c>
      <c r="AK16" s="35" t="s">
        <v>25</v>
      </c>
      <c r="AL16" s="36">
        <f>F16*$AK$5</f>
        <v>11500000</v>
      </c>
      <c r="AM16" s="31">
        <f>AI16*AL16</f>
        <v>11500000</v>
      </c>
    </row>
    <row r="17" spans="1:39" x14ac:dyDescent="0.45">
      <c r="A17" s="4">
        <v>4</v>
      </c>
      <c r="B17" s="35" t="s">
        <v>28</v>
      </c>
      <c r="C17" s="35">
        <v>1</v>
      </c>
      <c r="D17" s="35" t="s">
        <v>23</v>
      </c>
      <c r="E17" s="35" t="s">
        <v>25</v>
      </c>
      <c r="F17" s="36">
        <v>3000000</v>
      </c>
      <c r="G17" s="31">
        <f t="shared" ref="G17:G18" si="0">C17*F17</f>
        <v>3000000</v>
      </c>
      <c r="I17" s="4">
        <v>4</v>
      </c>
      <c r="J17" s="35" t="s">
        <v>28</v>
      </c>
      <c r="K17" s="35">
        <v>1</v>
      </c>
      <c r="L17" s="35" t="s">
        <v>23</v>
      </c>
      <c r="M17" s="35" t="s">
        <v>25</v>
      </c>
      <c r="N17" s="36">
        <f>F17*$M$5</f>
        <v>3300000.0000000005</v>
      </c>
      <c r="O17" s="31">
        <f t="shared" ref="O17:O18" si="1">K17*N17</f>
        <v>3300000.0000000005</v>
      </c>
      <c r="Q17" s="4">
        <v>4</v>
      </c>
      <c r="R17" s="35" t="s">
        <v>28</v>
      </c>
      <c r="S17" s="35">
        <v>1</v>
      </c>
      <c r="T17" s="35" t="s">
        <v>23</v>
      </c>
      <c r="U17" s="35" t="s">
        <v>25</v>
      </c>
      <c r="V17" s="36">
        <f>F17*$U$5</f>
        <v>3300000.0000000005</v>
      </c>
      <c r="W17" s="31">
        <f t="shared" ref="W17:W18" si="2">S17*V17</f>
        <v>3300000.0000000005</v>
      </c>
      <c r="Y17" s="4">
        <v>4</v>
      </c>
      <c r="Z17" s="35" t="s">
        <v>28</v>
      </c>
      <c r="AA17" s="35">
        <v>1</v>
      </c>
      <c r="AB17" s="35" t="s">
        <v>23</v>
      </c>
      <c r="AC17" s="35" t="s">
        <v>25</v>
      </c>
      <c r="AD17" s="36">
        <f>F17*$AC$5</f>
        <v>3449999.9999999995</v>
      </c>
      <c r="AE17" s="31">
        <f t="shared" ref="AE17:AE18" si="3">AA17*AD17</f>
        <v>3449999.9999999995</v>
      </c>
      <c r="AG17" s="4">
        <v>4</v>
      </c>
      <c r="AH17" s="35" t="s">
        <v>28</v>
      </c>
      <c r="AI17" s="35">
        <v>1</v>
      </c>
      <c r="AJ17" s="35" t="s">
        <v>23</v>
      </c>
      <c r="AK17" s="35" t="s">
        <v>25</v>
      </c>
      <c r="AL17" s="36">
        <f>F17*$AK$5</f>
        <v>3449999.9999999995</v>
      </c>
      <c r="AM17" s="31">
        <f t="shared" ref="AM17:AM18" si="4">AI17*AL17</f>
        <v>3449999.9999999995</v>
      </c>
    </row>
    <row r="18" spans="1:39" x14ac:dyDescent="0.45">
      <c r="A18" s="4">
        <v>5</v>
      </c>
      <c r="B18" s="35" t="s">
        <v>30</v>
      </c>
      <c r="C18" s="35">
        <v>6</v>
      </c>
      <c r="D18" s="35" t="s">
        <v>23</v>
      </c>
      <c r="E18" s="35" t="s">
        <v>25</v>
      </c>
      <c r="F18" s="36">
        <v>100000</v>
      </c>
      <c r="G18" s="31">
        <f t="shared" si="0"/>
        <v>600000</v>
      </c>
      <c r="I18" s="4">
        <v>5</v>
      </c>
      <c r="J18" s="35" t="s">
        <v>30</v>
      </c>
      <c r="K18" s="35">
        <v>6</v>
      </c>
      <c r="L18" s="35" t="s">
        <v>23</v>
      </c>
      <c r="M18" s="35" t="s">
        <v>25</v>
      </c>
      <c r="N18" s="36">
        <f>F18*$M$5</f>
        <v>110000.00000000001</v>
      </c>
      <c r="O18" s="31">
        <f t="shared" si="1"/>
        <v>660000.00000000012</v>
      </c>
      <c r="Q18" s="4">
        <v>5</v>
      </c>
      <c r="R18" s="35" t="s">
        <v>30</v>
      </c>
      <c r="S18" s="35">
        <v>6</v>
      </c>
      <c r="T18" s="35" t="s">
        <v>23</v>
      </c>
      <c r="U18" s="35" t="s">
        <v>25</v>
      </c>
      <c r="V18" s="36">
        <f>F18*$U$5</f>
        <v>110000.00000000001</v>
      </c>
      <c r="W18" s="31">
        <f t="shared" si="2"/>
        <v>660000.00000000012</v>
      </c>
      <c r="Y18" s="4">
        <v>5</v>
      </c>
      <c r="Z18" s="35" t="s">
        <v>30</v>
      </c>
      <c r="AA18" s="35">
        <v>6</v>
      </c>
      <c r="AB18" s="35" t="s">
        <v>23</v>
      </c>
      <c r="AC18" s="35" t="s">
        <v>25</v>
      </c>
      <c r="AD18" s="36">
        <f>F18*$AC$5</f>
        <v>114999.99999999999</v>
      </c>
      <c r="AE18" s="31">
        <f t="shared" si="3"/>
        <v>689999.99999999988</v>
      </c>
      <c r="AG18" s="4">
        <v>5</v>
      </c>
      <c r="AH18" s="35" t="s">
        <v>30</v>
      </c>
      <c r="AI18" s="35">
        <v>6</v>
      </c>
      <c r="AJ18" s="35" t="s">
        <v>23</v>
      </c>
      <c r="AK18" s="35" t="s">
        <v>25</v>
      </c>
      <c r="AL18" s="36">
        <f>F18*$AK$5</f>
        <v>114999.99999999999</v>
      </c>
      <c r="AM18" s="31">
        <f t="shared" si="4"/>
        <v>689999.99999999988</v>
      </c>
    </row>
    <row r="19" spans="1:39" x14ac:dyDescent="0.45">
      <c r="A19" s="4"/>
      <c r="B19" s="30"/>
      <c r="C19" s="35"/>
      <c r="D19" s="35"/>
      <c r="E19" s="35"/>
      <c r="F19" s="31"/>
      <c r="G19" s="31"/>
      <c r="I19" s="4"/>
      <c r="J19" s="30"/>
      <c r="K19" s="35"/>
      <c r="L19" s="35"/>
      <c r="M19" s="35"/>
      <c r="N19" s="31"/>
      <c r="O19" s="31"/>
      <c r="Q19" s="4"/>
      <c r="R19" s="30"/>
      <c r="S19" s="35"/>
      <c r="T19" s="35"/>
      <c r="U19" s="35"/>
      <c r="V19" s="31"/>
      <c r="W19" s="31"/>
      <c r="Y19" s="4"/>
      <c r="Z19" s="30"/>
      <c r="AA19" s="35"/>
      <c r="AB19" s="35"/>
      <c r="AC19" s="35"/>
      <c r="AD19" s="31"/>
      <c r="AE19" s="31"/>
      <c r="AG19" s="4"/>
      <c r="AH19" s="30"/>
      <c r="AI19" s="35"/>
      <c r="AJ19" s="35"/>
      <c r="AK19" s="35"/>
      <c r="AL19" s="31"/>
      <c r="AM19" s="31"/>
    </row>
    <row r="20" spans="1:39" x14ac:dyDescent="0.45">
      <c r="A20" s="27" t="s">
        <v>31</v>
      </c>
      <c r="B20" s="28" t="s">
        <v>32</v>
      </c>
      <c r="C20" s="32"/>
      <c r="D20" s="32"/>
      <c r="E20" s="32"/>
      <c r="F20" s="33"/>
      <c r="G20" s="29">
        <f>SUM(G21:G24)</f>
        <v>7200000</v>
      </c>
      <c r="I20" s="27" t="s">
        <v>31</v>
      </c>
      <c r="J20" s="28" t="s">
        <v>32</v>
      </c>
      <c r="K20" s="32"/>
      <c r="L20" s="32"/>
      <c r="M20" s="32"/>
      <c r="N20" s="33"/>
      <c r="O20" s="29">
        <f>SUM(O21:O24)</f>
        <v>7920000</v>
      </c>
      <c r="Q20" s="27" t="s">
        <v>31</v>
      </c>
      <c r="R20" s="28" t="s">
        <v>32</v>
      </c>
      <c r="S20" s="32"/>
      <c r="T20" s="32"/>
      <c r="U20" s="32"/>
      <c r="V20" s="33"/>
      <c r="W20" s="29">
        <f>SUM(W21:W24)</f>
        <v>7920000</v>
      </c>
      <c r="Y20" s="27" t="s">
        <v>31</v>
      </c>
      <c r="Z20" s="28" t="s">
        <v>32</v>
      </c>
      <c r="AA20" s="32"/>
      <c r="AB20" s="32"/>
      <c r="AC20" s="32"/>
      <c r="AD20" s="33"/>
      <c r="AE20" s="29">
        <f>SUM(AE21:AE24)</f>
        <v>8280000</v>
      </c>
      <c r="AG20" s="27" t="s">
        <v>31</v>
      </c>
      <c r="AH20" s="28" t="s">
        <v>32</v>
      </c>
      <c r="AI20" s="32"/>
      <c r="AJ20" s="32"/>
      <c r="AK20" s="32"/>
      <c r="AL20" s="33"/>
      <c r="AM20" s="29">
        <f>SUM(AM21:AM24)</f>
        <v>8280000</v>
      </c>
    </row>
    <row r="21" spans="1:39" x14ac:dyDescent="0.45">
      <c r="A21" s="4">
        <v>1</v>
      </c>
      <c r="B21" s="35" t="s">
        <v>33</v>
      </c>
      <c r="C21" s="35">
        <v>2</v>
      </c>
      <c r="D21" s="35" t="s">
        <v>23</v>
      </c>
      <c r="E21" s="35" t="s">
        <v>25</v>
      </c>
      <c r="F21" s="36">
        <v>2000000</v>
      </c>
      <c r="G21" s="31">
        <f>C21*F21</f>
        <v>4000000</v>
      </c>
      <c r="I21" s="4">
        <v>1</v>
      </c>
      <c r="J21" s="35" t="s">
        <v>33</v>
      </c>
      <c r="K21" s="35">
        <v>2</v>
      </c>
      <c r="L21" s="35" t="s">
        <v>23</v>
      </c>
      <c r="M21" s="35" t="s">
        <v>25</v>
      </c>
      <c r="N21" s="36">
        <f>F21*$M$5</f>
        <v>2200000</v>
      </c>
      <c r="O21" s="31">
        <f>K21*N21</f>
        <v>4400000</v>
      </c>
      <c r="Q21" s="4">
        <v>1</v>
      </c>
      <c r="R21" s="35" t="s">
        <v>33</v>
      </c>
      <c r="S21" s="35">
        <v>2</v>
      </c>
      <c r="T21" s="35" t="s">
        <v>23</v>
      </c>
      <c r="U21" s="35" t="s">
        <v>25</v>
      </c>
      <c r="V21" s="36">
        <f>F21*$U$5</f>
        <v>2200000</v>
      </c>
      <c r="W21" s="31">
        <f>S21*V21</f>
        <v>4400000</v>
      </c>
      <c r="Y21" s="4">
        <v>1</v>
      </c>
      <c r="Z21" s="35" t="s">
        <v>33</v>
      </c>
      <c r="AA21" s="35">
        <v>2</v>
      </c>
      <c r="AB21" s="35" t="s">
        <v>23</v>
      </c>
      <c r="AC21" s="35" t="s">
        <v>25</v>
      </c>
      <c r="AD21" s="36">
        <f>F21*$AC$5</f>
        <v>2300000</v>
      </c>
      <c r="AE21" s="31">
        <f>AA21*AD21</f>
        <v>4600000</v>
      </c>
      <c r="AG21" s="4">
        <v>1</v>
      </c>
      <c r="AH21" s="35" t="s">
        <v>33</v>
      </c>
      <c r="AI21" s="35">
        <v>2</v>
      </c>
      <c r="AJ21" s="35" t="s">
        <v>23</v>
      </c>
      <c r="AK21" s="35" t="s">
        <v>25</v>
      </c>
      <c r="AL21" s="36">
        <f>F21*$AK$5</f>
        <v>2300000</v>
      </c>
      <c r="AM21" s="31">
        <f>AI21*AL21</f>
        <v>4600000</v>
      </c>
    </row>
    <row r="22" spans="1:39" x14ac:dyDescent="0.45">
      <c r="A22" s="4">
        <v>2</v>
      </c>
      <c r="B22" s="37" t="s">
        <v>34</v>
      </c>
      <c r="C22" s="35">
        <v>4</v>
      </c>
      <c r="D22" s="35" t="s">
        <v>35</v>
      </c>
      <c r="E22" s="35" t="s">
        <v>36</v>
      </c>
      <c r="F22" s="36">
        <v>250000</v>
      </c>
      <c r="G22" s="31">
        <f>C22*F22</f>
        <v>1000000</v>
      </c>
      <c r="I22" s="4">
        <v>2</v>
      </c>
      <c r="J22" s="37" t="s">
        <v>34</v>
      </c>
      <c r="K22" s="35">
        <v>4</v>
      </c>
      <c r="L22" s="35" t="s">
        <v>35</v>
      </c>
      <c r="M22" s="35" t="s">
        <v>36</v>
      </c>
      <c r="N22" s="36">
        <f>F22*$M$5</f>
        <v>275000</v>
      </c>
      <c r="O22" s="31">
        <f>K22*N22</f>
        <v>1100000</v>
      </c>
      <c r="Q22" s="4">
        <v>2</v>
      </c>
      <c r="R22" s="37" t="s">
        <v>34</v>
      </c>
      <c r="S22" s="35">
        <v>4</v>
      </c>
      <c r="T22" s="35" t="s">
        <v>35</v>
      </c>
      <c r="U22" s="35" t="s">
        <v>36</v>
      </c>
      <c r="V22" s="36">
        <f>F22*$U$5</f>
        <v>275000</v>
      </c>
      <c r="W22" s="31">
        <f>S22*V22</f>
        <v>1100000</v>
      </c>
      <c r="Y22" s="4">
        <v>2</v>
      </c>
      <c r="Z22" s="37" t="s">
        <v>34</v>
      </c>
      <c r="AA22" s="35">
        <v>4</v>
      </c>
      <c r="AB22" s="35" t="s">
        <v>35</v>
      </c>
      <c r="AC22" s="35" t="s">
        <v>36</v>
      </c>
      <c r="AD22" s="36">
        <f>F22*$AC$5</f>
        <v>287500</v>
      </c>
      <c r="AE22" s="31">
        <f>AA22*AD22</f>
        <v>1150000</v>
      </c>
      <c r="AG22" s="4">
        <v>2</v>
      </c>
      <c r="AH22" s="37" t="s">
        <v>34</v>
      </c>
      <c r="AI22" s="35">
        <v>4</v>
      </c>
      <c r="AJ22" s="35" t="s">
        <v>35</v>
      </c>
      <c r="AK22" s="35" t="s">
        <v>36</v>
      </c>
      <c r="AL22" s="36">
        <f>F22*$AK$5</f>
        <v>287500</v>
      </c>
      <c r="AM22" s="31">
        <f>AI22*AL22</f>
        <v>1150000</v>
      </c>
    </row>
    <row r="23" spans="1:39" x14ac:dyDescent="0.45">
      <c r="A23" s="4">
        <v>3</v>
      </c>
      <c r="B23" s="5" t="s">
        <v>37</v>
      </c>
      <c r="C23" s="6">
        <v>1</v>
      </c>
      <c r="D23" s="7" t="s">
        <v>38</v>
      </c>
      <c r="E23" s="9" t="s">
        <v>39</v>
      </c>
      <c r="F23" s="8">
        <v>1300000</v>
      </c>
      <c r="G23" s="31">
        <f>C23*F23</f>
        <v>1300000</v>
      </c>
      <c r="I23" s="4">
        <v>3</v>
      </c>
      <c r="J23" s="5" t="s">
        <v>37</v>
      </c>
      <c r="K23" s="6">
        <v>1</v>
      </c>
      <c r="L23" s="7" t="s">
        <v>38</v>
      </c>
      <c r="M23" s="9" t="s">
        <v>39</v>
      </c>
      <c r="N23" s="36">
        <f>F23*$M$5</f>
        <v>1430000</v>
      </c>
      <c r="O23" s="31">
        <f>K23*N23</f>
        <v>1430000</v>
      </c>
      <c r="Q23" s="4">
        <v>3</v>
      </c>
      <c r="R23" s="5" t="s">
        <v>37</v>
      </c>
      <c r="S23" s="6">
        <v>1</v>
      </c>
      <c r="T23" s="7" t="s">
        <v>38</v>
      </c>
      <c r="U23" s="9" t="s">
        <v>39</v>
      </c>
      <c r="V23" s="36">
        <f>F23*$U$5</f>
        <v>1430000</v>
      </c>
      <c r="W23" s="31">
        <f>S23*V23</f>
        <v>1430000</v>
      </c>
      <c r="Y23" s="4">
        <v>3</v>
      </c>
      <c r="Z23" s="5" t="s">
        <v>37</v>
      </c>
      <c r="AA23" s="6">
        <v>1</v>
      </c>
      <c r="AB23" s="7" t="s">
        <v>38</v>
      </c>
      <c r="AC23" s="9" t="s">
        <v>39</v>
      </c>
      <c r="AD23" s="36">
        <f>F23*$AC$5</f>
        <v>1495000</v>
      </c>
      <c r="AE23" s="31">
        <f>AA23*AD23</f>
        <v>1495000</v>
      </c>
      <c r="AG23" s="4">
        <v>3</v>
      </c>
      <c r="AH23" s="5" t="s">
        <v>37</v>
      </c>
      <c r="AI23" s="6">
        <v>1</v>
      </c>
      <c r="AJ23" s="7" t="s">
        <v>38</v>
      </c>
      <c r="AK23" s="9" t="s">
        <v>39</v>
      </c>
      <c r="AL23" s="36">
        <f>F23*$AK$5</f>
        <v>1495000</v>
      </c>
      <c r="AM23" s="31">
        <f>AI23*AL23</f>
        <v>1495000</v>
      </c>
    </row>
    <row r="24" spans="1:39" x14ac:dyDescent="0.45">
      <c r="A24" s="4">
        <v>4</v>
      </c>
      <c r="B24" s="11" t="s">
        <v>40</v>
      </c>
      <c r="C24" s="12">
        <v>1</v>
      </c>
      <c r="D24" s="13" t="s">
        <v>41</v>
      </c>
      <c r="E24" s="14" t="s">
        <v>25</v>
      </c>
      <c r="F24" s="15">
        <v>900000</v>
      </c>
      <c r="G24" s="31">
        <f>C24*F24</f>
        <v>900000</v>
      </c>
      <c r="I24" s="4">
        <v>4</v>
      </c>
      <c r="J24" s="11" t="s">
        <v>40</v>
      </c>
      <c r="K24" s="12">
        <v>1</v>
      </c>
      <c r="L24" s="13" t="s">
        <v>41</v>
      </c>
      <c r="M24" s="14" t="s">
        <v>25</v>
      </c>
      <c r="N24" s="36">
        <f>F24*$M$5</f>
        <v>990000.00000000012</v>
      </c>
      <c r="O24" s="31">
        <f>K24*N24</f>
        <v>990000.00000000012</v>
      </c>
      <c r="Q24" s="4">
        <v>4</v>
      </c>
      <c r="R24" s="11" t="s">
        <v>40</v>
      </c>
      <c r="S24" s="12">
        <v>1</v>
      </c>
      <c r="T24" s="13" t="s">
        <v>41</v>
      </c>
      <c r="U24" s="14" t="s">
        <v>25</v>
      </c>
      <c r="V24" s="36">
        <f>F24*$U$5</f>
        <v>990000.00000000012</v>
      </c>
      <c r="W24" s="31">
        <f>S24*V24</f>
        <v>990000.00000000012</v>
      </c>
      <c r="Y24" s="4">
        <v>4</v>
      </c>
      <c r="Z24" s="11" t="s">
        <v>40</v>
      </c>
      <c r="AA24" s="12">
        <v>1</v>
      </c>
      <c r="AB24" s="13" t="s">
        <v>41</v>
      </c>
      <c r="AC24" s="14" t="s">
        <v>25</v>
      </c>
      <c r="AD24" s="36">
        <f>F24*$AC$5</f>
        <v>1034999.9999999999</v>
      </c>
      <c r="AE24" s="31">
        <f>AA24*AD24</f>
        <v>1034999.9999999999</v>
      </c>
      <c r="AG24" s="4">
        <v>4</v>
      </c>
      <c r="AH24" s="11" t="s">
        <v>40</v>
      </c>
      <c r="AI24" s="12">
        <v>1</v>
      </c>
      <c r="AJ24" s="13" t="s">
        <v>41</v>
      </c>
      <c r="AK24" s="14" t="s">
        <v>25</v>
      </c>
      <c r="AL24" s="36">
        <f>F24*$AK$5</f>
        <v>1034999.9999999999</v>
      </c>
      <c r="AM24" s="31">
        <f>AI24*AL24</f>
        <v>1034999.9999999999</v>
      </c>
    </row>
    <row r="25" spans="1:39" x14ac:dyDescent="0.45">
      <c r="A25" s="4"/>
      <c r="B25" s="30"/>
      <c r="C25" s="35"/>
      <c r="D25" s="35"/>
      <c r="E25" s="35"/>
      <c r="F25" s="31"/>
      <c r="G25" s="31"/>
      <c r="I25" s="4"/>
      <c r="J25" s="30"/>
      <c r="K25" s="35"/>
      <c r="L25" s="35"/>
      <c r="M25" s="35"/>
      <c r="N25" s="31"/>
      <c r="O25" s="31"/>
      <c r="Q25" s="4"/>
      <c r="R25" s="30"/>
      <c r="S25" s="35"/>
      <c r="T25" s="35"/>
      <c r="U25" s="35"/>
      <c r="V25" s="31"/>
      <c r="W25" s="31"/>
      <c r="Y25" s="4"/>
      <c r="Z25" s="30"/>
      <c r="AA25" s="35"/>
      <c r="AB25" s="35"/>
      <c r="AC25" s="35"/>
      <c r="AD25" s="31"/>
      <c r="AE25" s="31"/>
      <c r="AG25" s="4"/>
      <c r="AH25" s="30"/>
      <c r="AI25" s="35"/>
      <c r="AJ25" s="35"/>
      <c r="AK25" s="35"/>
      <c r="AL25" s="31"/>
      <c r="AM25" s="31"/>
    </row>
    <row r="26" spans="1:39" x14ac:dyDescent="0.45">
      <c r="A26" s="27" t="s">
        <v>42</v>
      </c>
      <c r="B26" s="28" t="s">
        <v>43</v>
      </c>
      <c r="C26" s="32"/>
      <c r="D26" s="32"/>
      <c r="E26" s="32"/>
      <c r="F26" s="33"/>
      <c r="G26" s="29">
        <f>SUM(G27:G40)</f>
        <v>17872500</v>
      </c>
      <c r="I26" s="27" t="s">
        <v>42</v>
      </c>
      <c r="J26" s="28" t="s">
        <v>43</v>
      </c>
      <c r="K26" s="32"/>
      <c r="L26" s="32"/>
      <c r="M26" s="32"/>
      <c r="N26" s="33"/>
      <c r="O26" s="29">
        <f>SUM(O27:O40)</f>
        <v>19659750</v>
      </c>
      <c r="Q26" s="27" t="s">
        <v>42</v>
      </c>
      <c r="R26" s="28" t="s">
        <v>43</v>
      </c>
      <c r="S26" s="32"/>
      <c r="T26" s="32"/>
      <c r="U26" s="32"/>
      <c r="V26" s="33"/>
      <c r="W26" s="29">
        <f>SUM(W27:W40)</f>
        <v>19659750</v>
      </c>
      <c r="Y26" s="27" t="s">
        <v>42</v>
      </c>
      <c r="Z26" s="28" t="s">
        <v>43</v>
      </c>
      <c r="AA26" s="32"/>
      <c r="AB26" s="32"/>
      <c r="AC26" s="32"/>
      <c r="AD26" s="33"/>
      <c r="AE26" s="29">
        <f>SUM(AE27:AE40)</f>
        <v>20553375</v>
      </c>
      <c r="AG26" s="27" t="s">
        <v>42</v>
      </c>
      <c r="AH26" s="28" t="s">
        <v>43</v>
      </c>
      <c r="AI26" s="32"/>
      <c r="AJ26" s="32"/>
      <c r="AK26" s="32"/>
      <c r="AL26" s="33"/>
      <c r="AM26" s="29">
        <f>SUM(AM27:AM40)</f>
        <v>20553375</v>
      </c>
    </row>
    <row r="27" spans="1:39" ht="14.55" customHeight="1" x14ac:dyDescent="0.45">
      <c r="A27" s="4">
        <v>1</v>
      </c>
      <c r="B27" s="38" t="s">
        <v>99</v>
      </c>
      <c r="C27" s="1">
        <v>1</v>
      </c>
      <c r="D27" s="38" t="s">
        <v>23</v>
      </c>
      <c r="E27" s="38" t="s">
        <v>45</v>
      </c>
      <c r="F27" s="31">
        <v>5000000</v>
      </c>
      <c r="G27" s="31">
        <f t="shared" ref="G27:G40" si="5">C27*F27</f>
        <v>5000000</v>
      </c>
      <c r="I27" s="4">
        <v>1</v>
      </c>
      <c r="J27" s="38" t="s">
        <v>99</v>
      </c>
      <c r="K27" s="1">
        <v>1</v>
      </c>
      <c r="L27" s="38" t="s">
        <v>23</v>
      </c>
      <c r="M27" s="38" t="s">
        <v>45</v>
      </c>
      <c r="N27" s="36">
        <f t="shared" ref="N27:N40" si="6">F27*$M$5</f>
        <v>5500000</v>
      </c>
      <c r="O27" s="31">
        <f t="shared" ref="O27:O40" si="7">K27*N27</f>
        <v>5500000</v>
      </c>
      <c r="Q27" s="4">
        <v>1</v>
      </c>
      <c r="R27" s="38" t="s">
        <v>99</v>
      </c>
      <c r="S27" s="1">
        <v>1</v>
      </c>
      <c r="T27" s="38" t="s">
        <v>23</v>
      </c>
      <c r="U27" s="38" t="s">
        <v>45</v>
      </c>
      <c r="V27" s="36">
        <f>F27*$U$5</f>
        <v>5500000</v>
      </c>
      <c r="W27" s="31">
        <f t="shared" ref="W27:W40" si="8">S27*V27</f>
        <v>5500000</v>
      </c>
      <c r="Y27" s="4">
        <v>1</v>
      </c>
      <c r="Z27" s="38" t="s">
        <v>99</v>
      </c>
      <c r="AA27" s="1">
        <v>1</v>
      </c>
      <c r="AB27" s="38" t="s">
        <v>23</v>
      </c>
      <c r="AC27" s="38" t="s">
        <v>45</v>
      </c>
      <c r="AD27" s="36">
        <f>F27*$AC$5</f>
        <v>5750000</v>
      </c>
      <c r="AE27" s="31">
        <f t="shared" ref="AE27:AE40" si="9">AA27*AD27</f>
        <v>5750000</v>
      </c>
      <c r="AG27" s="4">
        <v>1</v>
      </c>
      <c r="AH27" s="38" t="s">
        <v>99</v>
      </c>
      <c r="AI27" s="1">
        <v>1</v>
      </c>
      <c r="AJ27" s="38" t="s">
        <v>23</v>
      </c>
      <c r="AK27" s="38" t="s">
        <v>45</v>
      </c>
      <c r="AL27" s="36">
        <f>F27*$AK$5</f>
        <v>5750000</v>
      </c>
      <c r="AM27" s="31">
        <f t="shared" ref="AM27:AM40" si="10">AI27*AL27</f>
        <v>5750000</v>
      </c>
    </row>
    <row r="28" spans="1:39" s="40" customFormat="1" ht="14.55" customHeight="1" x14ac:dyDescent="0.45">
      <c r="A28" s="39">
        <v>2</v>
      </c>
      <c r="B28" s="35" t="s">
        <v>46</v>
      </c>
      <c r="C28" s="1">
        <v>3</v>
      </c>
      <c r="D28" s="38" t="s">
        <v>23</v>
      </c>
      <c r="E28" s="38" t="s">
        <v>25</v>
      </c>
      <c r="F28" s="36">
        <v>100000</v>
      </c>
      <c r="G28" s="31">
        <f t="shared" si="5"/>
        <v>300000</v>
      </c>
      <c r="I28" s="39">
        <v>2</v>
      </c>
      <c r="J28" s="35" t="s">
        <v>46</v>
      </c>
      <c r="K28" s="1">
        <v>3</v>
      </c>
      <c r="L28" s="38" t="s">
        <v>23</v>
      </c>
      <c r="M28" s="38" t="s">
        <v>25</v>
      </c>
      <c r="N28" s="36">
        <f t="shared" si="6"/>
        <v>110000.00000000001</v>
      </c>
      <c r="O28" s="31">
        <f t="shared" si="7"/>
        <v>330000.00000000006</v>
      </c>
      <c r="Q28" s="39">
        <v>2</v>
      </c>
      <c r="R28" s="35" t="s">
        <v>46</v>
      </c>
      <c r="S28" s="1">
        <v>3</v>
      </c>
      <c r="T28" s="38" t="s">
        <v>23</v>
      </c>
      <c r="U28" s="38" t="s">
        <v>25</v>
      </c>
      <c r="V28" s="36">
        <f>F28*$U$5</f>
        <v>110000.00000000001</v>
      </c>
      <c r="W28" s="31">
        <f t="shared" si="8"/>
        <v>330000.00000000006</v>
      </c>
      <c r="Y28" s="39">
        <v>2</v>
      </c>
      <c r="Z28" s="35" t="s">
        <v>46</v>
      </c>
      <c r="AA28" s="1">
        <v>3</v>
      </c>
      <c r="AB28" s="38" t="s">
        <v>23</v>
      </c>
      <c r="AC28" s="38" t="s">
        <v>25</v>
      </c>
      <c r="AD28" s="36">
        <f>F28*$AC$5</f>
        <v>114999.99999999999</v>
      </c>
      <c r="AE28" s="31">
        <f t="shared" si="9"/>
        <v>344999.99999999994</v>
      </c>
      <c r="AG28" s="39">
        <v>2</v>
      </c>
      <c r="AH28" s="35" t="s">
        <v>46</v>
      </c>
      <c r="AI28" s="1">
        <v>3</v>
      </c>
      <c r="AJ28" s="38" t="s">
        <v>23</v>
      </c>
      <c r="AK28" s="38" t="s">
        <v>25</v>
      </c>
      <c r="AL28" s="36">
        <f>F28*$AK$5</f>
        <v>114999.99999999999</v>
      </c>
      <c r="AM28" s="31">
        <f t="shared" si="10"/>
        <v>344999.99999999994</v>
      </c>
    </row>
    <row r="29" spans="1:39" s="3" customFormat="1" ht="14.55" customHeight="1" x14ac:dyDescent="0.45">
      <c r="A29" s="4">
        <v>3</v>
      </c>
      <c r="B29" s="2" t="s">
        <v>100</v>
      </c>
      <c r="C29" s="1">
        <v>1</v>
      </c>
      <c r="D29" s="38" t="s">
        <v>23</v>
      </c>
      <c r="E29" s="38" t="s">
        <v>48</v>
      </c>
      <c r="F29" s="36">
        <f>3850000*1.25</f>
        <v>4812500</v>
      </c>
      <c r="G29" s="31">
        <f t="shared" si="5"/>
        <v>4812500</v>
      </c>
      <c r="I29" s="4">
        <v>3</v>
      </c>
      <c r="J29" s="2" t="s">
        <v>100</v>
      </c>
      <c r="K29" s="1">
        <v>1</v>
      </c>
      <c r="L29" s="38" t="s">
        <v>23</v>
      </c>
      <c r="M29" s="38" t="s">
        <v>48</v>
      </c>
      <c r="N29" s="36">
        <f t="shared" si="6"/>
        <v>5293750</v>
      </c>
      <c r="O29" s="31">
        <f t="shared" si="7"/>
        <v>5293750</v>
      </c>
      <c r="Q29" s="4">
        <v>3</v>
      </c>
      <c r="R29" s="2" t="s">
        <v>100</v>
      </c>
      <c r="S29" s="1">
        <v>1</v>
      </c>
      <c r="T29" s="38" t="s">
        <v>23</v>
      </c>
      <c r="U29" s="38" t="s">
        <v>48</v>
      </c>
      <c r="V29" s="36">
        <f>F29*$U$5</f>
        <v>5293750</v>
      </c>
      <c r="W29" s="31">
        <f t="shared" si="8"/>
        <v>5293750</v>
      </c>
      <c r="Y29" s="4">
        <v>3</v>
      </c>
      <c r="Z29" s="2" t="s">
        <v>100</v>
      </c>
      <c r="AA29" s="1">
        <v>1</v>
      </c>
      <c r="AB29" s="38" t="s">
        <v>23</v>
      </c>
      <c r="AC29" s="38" t="s">
        <v>48</v>
      </c>
      <c r="AD29" s="36">
        <f>F29*$AC$5</f>
        <v>5534375</v>
      </c>
      <c r="AE29" s="31">
        <f t="shared" si="9"/>
        <v>5534375</v>
      </c>
      <c r="AG29" s="4">
        <v>3</v>
      </c>
      <c r="AH29" s="2" t="s">
        <v>100</v>
      </c>
      <c r="AI29" s="1">
        <v>1</v>
      </c>
      <c r="AJ29" s="38" t="s">
        <v>23</v>
      </c>
      <c r="AK29" s="38" t="s">
        <v>48</v>
      </c>
      <c r="AL29" s="36">
        <f>F29*$AK$5</f>
        <v>5534375</v>
      </c>
      <c r="AM29" s="31">
        <f t="shared" si="10"/>
        <v>5534375</v>
      </c>
    </row>
    <row r="30" spans="1:39" s="3" customFormat="1" ht="14.55" customHeight="1" x14ac:dyDescent="0.45">
      <c r="A30" s="39">
        <v>4</v>
      </c>
      <c r="B30" s="2" t="s">
        <v>49</v>
      </c>
      <c r="C30" s="1">
        <v>2</v>
      </c>
      <c r="D30" s="38" t="s">
        <v>23</v>
      </c>
      <c r="E30" s="38" t="s">
        <v>25</v>
      </c>
      <c r="F30" s="36">
        <v>300000</v>
      </c>
      <c r="G30" s="31">
        <f t="shared" si="5"/>
        <v>600000</v>
      </c>
      <c r="I30" s="39">
        <v>4</v>
      </c>
      <c r="J30" s="2" t="s">
        <v>49</v>
      </c>
      <c r="K30" s="1">
        <v>2</v>
      </c>
      <c r="L30" s="38" t="s">
        <v>23</v>
      </c>
      <c r="M30" s="38" t="s">
        <v>25</v>
      </c>
      <c r="N30" s="36">
        <f t="shared" si="6"/>
        <v>330000</v>
      </c>
      <c r="O30" s="31">
        <f t="shared" si="7"/>
        <v>660000</v>
      </c>
      <c r="Q30" s="39">
        <v>4</v>
      </c>
      <c r="R30" s="2" t="s">
        <v>49</v>
      </c>
      <c r="S30" s="1">
        <v>2</v>
      </c>
      <c r="T30" s="38" t="s">
        <v>23</v>
      </c>
      <c r="U30" s="38" t="s">
        <v>25</v>
      </c>
      <c r="V30" s="36">
        <f>F30*$U$5</f>
        <v>330000</v>
      </c>
      <c r="W30" s="31">
        <f t="shared" si="8"/>
        <v>660000</v>
      </c>
      <c r="Y30" s="39">
        <v>4</v>
      </c>
      <c r="Z30" s="2" t="s">
        <v>49</v>
      </c>
      <c r="AA30" s="1">
        <v>2</v>
      </c>
      <c r="AB30" s="38" t="s">
        <v>23</v>
      </c>
      <c r="AC30" s="38" t="s">
        <v>25</v>
      </c>
      <c r="AD30" s="36">
        <f>F30*$AC$5</f>
        <v>345000</v>
      </c>
      <c r="AE30" s="31">
        <f t="shared" si="9"/>
        <v>690000</v>
      </c>
      <c r="AG30" s="39">
        <v>4</v>
      </c>
      <c r="AH30" s="2" t="s">
        <v>49</v>
      </c>
      <c r="AI30" s="1">
        <v>2</v>
      </c>
      <c r="AJ30" s="38" t="s">
        <v>23</v>
      </c>
      <c r="AK30" s="38" t="s">
        <v>25</v>
      </c>
      <c r="AL30" s="36">
        <f>F30*$AK$5</f>
        <v>345000</v>
      </c>
      <c r="AM30" s="31">
        <f t="shared" si="10"/>
        <v>690000</v>
      </c>
    </row>
    <row r="31" spans="1:39" s="3" customFormat="1" ht="14.55" customHeight="1" x14ac:dyDescent="0.45">
      <c r="A31" s="4">
        <v>5</v>
      </c>
      <c r="B31" s="2" t="s">
        <v>50</v>
      </c>
      <c r="C31" s="1">
        <v>1</v>
      </c>
      <c r="D31" s="35" t="s">
        <v>51</v>
      </c>
      <c r="E31" s="35" t="s">
        <v>25</v>
      </c>
      <c r="F31" s="36">
        <v>200000</v>
      </c>
      <c r="G31" s="31">
        <f t="shared" si="5"/>
        <v>200000</v>
      </c>
      <c r="I31" s="4">
        <v>5</v>
      </c>
      <c r="J31" s="2" t="s">
        <v>50</v>
      </c>
      <c r="K31" s="1">
        <v>1</v>
      </c>
      <c r="L31" s="35" t="s">
        <v>51</v>
      </c>
      <c r="M31" s="35" t="s">
        <v>25</v>
      </c>
      <c r="N31" s="36">
        <f t="shared" si="6"/>
        <v>220000.00000000003</v>
      </c>
      <c r="O31" s="31">
        <f t="shared" si="7"/>
        <v>220000.00000000003</v>
      </c>
      <c r="Q31" s="4">
        <v>5</v>
      </c>
      <c r="R31" s="2" t="s">
        <v>50</v>
      </c>
      <c r="S31" s="1">
        <v>1</v>
      </c>
      <c r="T31" s="35" t="s">
        <v>51</v>
      </c>
      <c r="U31" s="35" t="s">
        <v>25</v>
      </c>
      <c r="V31" s="36">
        <f>F31*$U$5</f>
        <v>220000.00000000003</v>
      </c>
      <c r="W31" s="31">
        <f t="shared" si="8"/>
        <v>220000.00000000003</v>
      </c>
      <c r="Y31" s="4">
        <v>5</v>
      </c>
      <c r="Z31" s="2" t="s">
        <v>50</v>
      </c>
      <c r="AA31" s="1">
        <v>1</v>
      </c>
      <c r="AB31" s="35" t="s">
        <v>51</v>
      </c>
      <c r="AC31" s="35" t="s">
        <v>25</v>
      </c>
      <c r="AD31" s="36">
        <f>F31*$AC$5</f>
        <v>229999.99999999997</v>
      </c>
      <c r="AE31" s="31">
        <f t="shared" si="9"/>
        <v>229999.99999999997</v>
      </c>
      <c r="AG31" s="4">
        <v>5</v>
      </c>
      <c r="AH31" s="2" t="s">
        <v>50</v>
      </c>
      <c r="AI31" s="1">
        <v>1</v>
      </c>
      <c r="AJ31" s="35" t="s">
        <v>51</v>
      </c>
      <c r="AK31" s="35" t="s">
        <v>25</v>
      </c>
      <c r="AL31" s="36">
        <f>F31*$AK$5</f>
        <v>229999.99999999997</v>
      </c>
      <c r="AM31" s="31">
        <f t="shared" si="10"/>
        <v>229999.99999999997</v>
      </c>
    </row>
    <row r="32" spans="1:39" s="3" customFormat="1" ht="14.55" customHeight="1" x14ac:dyDescent="0.45">
      <c r="A32" s="39">
        <v>6</v>
      </c>
      <c r="B32" s="2" t="s">
        <v>52</v>
      </c>
      <c r="C32" s="1">
        <v>1</v>
      </c>
      <c r="D32" s="35" t="s">
        <v>23</v>
      </c>
      <c r="E32" s="35" t="s">
        <v>25</v>
      </c>
      <c r="F32" s="36">
        <v>500000</v>
      </c>
      <c r="G32" s="31">
        <f t="shared" si="5"/>
        <v>500000</v>
      </c>
      <c r="I32" s="39">
        <v>6</v>
      </c>
      <c r="J32" s="2" t="s">
        <v>52</v>
      </c>
      <c r="K32" s="1">
        <v>1</v>
      </c>
      <c r="L32" s="35" t="s">
        <v>23</v>
      </c>
      <c r="M32" s="35" t="s">
        <v>25</v>
      </c>
      <c r="N32" s="36">
        <f t="shared" si="6"/>
        <v>550000</v>
      </c>
      <c r="O32" s="31">
        <f t="shared" si="7"/>
        <v>550000</v>
      </c>
      <c r="Q32" s="39">
        <v>6</v>
      </c>
      <c r="R32" s="2" t="s">
        <v>52</v>
      </c>
      <c r="S32" s="1">
        <v>1</v>
      </c>
      <c r="T32" s="35" t="s">
        <v>23</v>
      </c>
      <c r="U32" s="35" t="s">
        <v>25</v>
      </c>
      <c r="V32" s="36">
        <f>F32*$U$5</f>
        <v>550000</v>
      </c>
      <c r="W32" s="31">
        <f t="shared" si="8"/>
        <v>550000</v>
      </c>
      <c r="Y32" s="39">
        <v>6</v>
      </c>
      <c r="Z32" s="2" t="s">
        <v>52</v>
      </c>
      <c r="AA32" s="1">
        <v>1</v>
      </c>
      <c r="AB32" s="35" t="s">
        <v>23</v>
      </c>
      <c r="AC32" s="35" t="s">
        <v>25</v>
      </c>
      <c r="AD32" s="36">
        <f>F32*$AC$5</f>
        <v>575000</v>
      </c>
      <c r="AE32" s="31">
        <f t="shared" si="9"/>
        <v>575000</v>
      </c>
      <c r="AG32" s="39">
        <v>6</v>
      </c>
      <c r="AH32" s="2" t="s">
        <v>52</v>
      </c>
      <c r="AI32" s="1">
        <v>1</v>
      </c>
      <c r="AJ32" s="35" t="s">
        <v>23</v>
      </c>
      <c r="AK32" s="35" t="s">
        <v>25</v>
      </c>
      <c r="AL32" s="36">
        <f>F32*$AK$5</f>
        <v>575000</v>
      </c>
      <c r="AM32" s="31">
        <f t="shared" si="10"/>
        <v>575000</v>
      </c>
    </row>
    <row r="33" spans="1:39" s="3" customFormat="1" ht="14.55" customHeight="1" x14ac:dyDescent="0.45">
      <c r="A33" s="4">
        <v>7</v>
      </c>
      <c r="B33" s="2" t="s">
        <v>53</v>
      </c>
      <c r="C33" s="1">
        <v>1</v>
      </c>
      <c r="D33" s="35" t="s">
        <v>23</v>
      </c>
      <c r="E33" s="35" t="s">
        <v>25</v>
      </c>
      <c r="F33" s="36">
        <v>250000</v>
      </c>
      <c r="G33" s="31">
        <f t="shared" si="5"/>
        <v>250000</v>
      </c>
      <c r="I33" s="4">
        <v>7</v>
      </c>
      <c r="J33" s="2" t="s">
        <v>53</v>
      </c>
      <c r="K33" s="1">
        <v>1</v>
      </c>
      <c r="L33" s="35" t="s">
        <v>23</v>
      </c>
      <c r="M33" s="35" t="s">
        <v>25</v>
      </c>
      <c r="N33" s="36">
        <f t="shared" si="6"/>
        <v>275000</v>
      </c>
      <c r="O33" s="31">
        <f t="shared" si="7"/>
        <v>275000</v>
      </c>
      <c r="Q33" s="4">
        <v>7</v>
      </c>
      <c r="R33" s="2" t="s">
        <v>53</v>
      </c>
      <c r="S33" s="1">
        <v>1</v>
      </c>
      <c r="T33" s="35" t="s">
        <v>23</v>
      </c>
      <c r="U33" s="35" t="s">
        <v>25</v>
      </c>
      <c r="V33" s="36">
        <f>F33*$U$5</f>
        <v>275000</v>
      </c>
      <c r="W33" s="31">
        <f t="shared" si="8"/>
        <v>275000</v>
      </c>
      <c r="Y33" s="4">
        <v>7</v>
      </c>
      <c r="Z33" s="2" t="s">
        <v>53</v>
      </c>
      <c r="AA33" s="1">
        <v>1</v>
      </c>
      <c r="AB33" s="35" t="s">
        <v>23</v>
      </c>
      <c r="AC33" s="35" t="s">
        <v>25</v>
      </c>
      <c r="AD33" s="36">
        <f>F33*$AC$5</f>
        <v>287500</v>
      </c>
      <c r="AE33" s="31">
        <f t="shared" si="9"/>
        <v>287500</v>
      </c>
      <c r="AG33" s="4">
        <v>7</v>
      </c>
      <c r="AH33" s="2" t="s">
        <v>53</v>
      </c>
      <c r="AI33" s="1">
        <v>1</v>
      </c>
      <c r="AJ33" s="35" t="s">
        <v>23</v>
      </c>
      <c r="AK33" s="35" t="s">
        <v>25</v>
      </c>
      <c r="AL33" s="36">
        <f>F33*$AK$5</f>
        <v>287500</v>
      </c>
      <c r="AM33" s="31">
        <f t="shared" si="10"/>
        <v>287500</v>
      </c>
    </row>
    <row r="34" spans="1:39" s="3" customFormat="1" ht="14.55" customHeight="1" x14ac:dyDescent="0.45">
      <c r="A34" s="39">
        <v>8</v>
      </c>
      <c r="B34" s="2" t="s">
        <v>54</v>
      </c>
      <c r="C34" s="1">
        <v>1</v>
      </c>
      <c r="D34" s="35" t="s">
        <v>51</v>
      </c>
      <c r="E34" s="35" t="s">
        <v>25</v>
      </c>
      <c r="F34" s="36">
        <v>250000</v>
      </c>
      <c r="G34" s="31">
        <f t="shared" si="5"/>
        <v>250000</v>
      </c>
      <c r="I34" s="39">
        <v>8</v>
      </c>
      <c r="J34" s="2" t="s">
        <v>54</v>
      </c>
      <c r="K34" s="1">
        <v>1</v>
      </c>
      <c r="L34" s="35" t="s">
        <v>51</v>
      </c>
      <c r="M34" s="35" t="s">
        <v>25</v>
      </c>
      <c r="N34" s="36">
        <f t="shared" si="6"/>
        <v>275000</v>
      </c>
      <c r="O34" s="31">
        <f t="shared" si="7"/>
        <v>275000</v>
      </c>
      <c r="Q34" s="39">
        <v>8</v>
      </c>
      <c r="R34" s="2" t="s">
        <v>54</v>
      </c>
      <c r="S34" s="1">
        <v>1</v>
      </c>
      <c r="T34" s="35" t="s">
        <v>51</v>
      </c>
      <c r="U34" s="35" t="s">
        <v>25</v>
      </c>
      <c r="V34" s="36">
        <f>F34*$U$5</f>
        <v>275000</v>
      </c>
      <c r="W34" s="31">
        <f t="shared" si="8"/>
        <v>275000</v>
      </c>
      <c r="Y34" s="39">
        <v>8</v>
      </c>
      <c r="Z34" s="2" t="s">
        <v>54</v>
      </c>
      <c r="AA34" s="1">
        <v>1</v>
      </c>
      <c r="AB34" s="35" t="s">
        <v>51</v>
      </c>
      <c r="AC34" s="35" t="s">
        <v>25</v>
      </c>
      <c r="AD34" s="36">
        <f>F34*$AC$5</f>
        <v>287500</v>
      </c>
      <c r="AE34" s="31">
        <f t="shared" si="9"/>
        <v>287500</v>
      </c>
      <c r="AG34" s="39">
        <v>8</v>
      </c>
      <c r="AH34" s="2" t="s">
        <v>54</v>
      </c>
      <c r="AI34" s="1">
        <v>1</v>
      </c>
      <c r="AJ34" s="35" t="s">
        <v>51</v>
      </c>
      <c r="AK34" s="35" t="s">
        <v>25</v>
      </c>
      <c r="AL34" s="36">
        <f>F34*$AK$5</f>
        <v>287500</v>
      </c>
      <c r="AM34" s="31">
        <f t="shared" si="10"/>
        <v>287500</v>
      </c>
    </row>
    <row r="35" spans="1:39" s="3" customFormat="1" ht="14.55" customHeight="1" x14ac:dyDescent="0.45">
      <c r="A35" s="4">
        <v>9</v>
      </c>
      <c r="B35" s="2" t="s">
        <v>55</v>
      </c>
      <c r="C35" s="1">
        <v>1</v>
      </c>
      <c r="D35" s="35" t="s">
        <v>23</v>
      </c>
      <c r="E35" s="35" t="s">
        <v>25</v>
      </c>
      <c r="F35" s="36">
        <v>250000</v>
      </c>
      <c r="G35" s="31">
        <f t="shared" si="5"/>
        <v>250000</v>
      </c>
      <c r="I35" s="4">
        <v>9</v>
      </c>
      <c r="J35" s="2" t="s">
        <v>55</v>
      </c>
      <c r="K35" s="1">
        <v>1</v>
      </c>
      <c r="L35" s="35" t="s">
        <v>23</v>
      </c>
      <c r="M35" s="35" t="s">
        <v>25</v>
      </c>
      <c r="N35" s="36">
        <f t="shared" si="6"/>
        <v>275000</v>
      </c>
      <c r="O35" s="31">
        <f t="shared" si="7"/>
        <v>275000</v>
      </c>
      <c r="Q35" s="4">
        <v>9</v>
      </c>
      <c r="R35" s="2" t="s">
        <v>55</v>
      </c>
      <c r="S35" s="1">
        <v>1</v>
      </c>
      <c r="T35" s="35" t="s">
        <v>23</v>
      </c>
      <c r="U35" s="35" t="s">
        <v>25</v>
      </c>
      <c r="V35" s="36">
        <f>F35*$U$5</f>
        <v>275000</v>
      </c>
      <c r="W35" s="31">
        <f t="shared" si="8"/>
        <v>275000</v>
      </c>
      <c r="Y35" s="4">
        <v>9</v>
      </c>
      <c r="Z35" s="2" t="s">
        <v>55</v>
      </c>
      <c r="AA35" s="1">
        <v>1</v>
      </c>
      <c r="AB35" s="35" t="s">
        <v>23</v>
      </c>
      <c r="AC35" s="35" t="s">
        <v>25</v>
      </c>
      <c r="AD35" s="36">
        <f>F35*$AC$5</f>
        <v>287500</v>
      </c>
      <c r="AE35" s="31">
        <f t="shared" si="9"/>
        <v>287500</v>
      </c>
      <c r="AG35" s="4">
        <v>9</v>
      </c>
      <c r="AH35" s="2" t="s">
        <v>55</v>
      </c>
      <c r="AI35" s="1">
        <v>1</v>
      </c>
      <c r="AJ35" s="35" t="s">
        <v>23</v>
      </c>
      <c r="AK35" s="35" t="s">
        <v>25</v>
      </c>
      <c r="AL35" s="36">
        <f>F35*$AK$5</f>
        <v>287500</v>
      </c>
      <c r="AM35" s="31">
        <f t="shared" si="10"/>
        <v>287500</v>
      </c>
    </row>
    <row r="36" spans="1:39" s="3" customFormat="1" ht="14.55" customHeight="1" x14ac:dyDescent="0.45">
      <c r="A36" s="39">
        <v>10</v>
      </c>
      <c r="B36" s="2" t="s">
        <v>56</v>
      </c>
      <c r="C36" s="1">
        <v>1</v>
      </c>
      <c r="D36" s="35" t="s">
        <v>51</v>
      </c>
      <c r="E36" s="35" t="s">
        <v>25</v>
      </c>
      <c r="F36" s="36">
        <v>300000</v>
      </c>
      <c r="G36" s="31">
        <f t="shared" si="5"/>
        <v>300000</v>
      </c>
      <c r="I36" s="39">
        <v>10</v>
      </c>
      <c r="J36" s="2" t="s">
        <v>56</v>
      </c>
      <c r="K36" s="1">
        <v>1</v>
      </c>
      <c r="L36" s="35" t="s">
        <v>51</v>
      </c>
      <c r="M36" s="35" t="s">
        <v>25</v>
      </c>
      <c r="N36" s="36">
        <f t="shared" si="6"/>
        <v>330000</v>
      </c>
      <c r="O36" s="31">
        <f t="shared" si="7"/>
        <v>330000</v>
      </c>
      <c r="Q36" s="39">
        <v>10</v>
      </c>
      <c r="R36" s="2" t="s">
        <v>56</v>
      </c>
      <c r="S36" s="1">
        <v>1</v>
      </c>
      <c r="T36" s="35" t="s">
        <v>51</v>
      </c>
      <c r="U36" s="35" t="s">
        <v>25</v>
      </c>
      <c r="V36" s="36">
        <f>F36*$U$5</f>
        <v>330000</v>
      </c>
      <c r="W36" s="31">
        <f t="shared" si="8"/>
        <v>330000</v>
      </c>
      <c r="Y36" s="39">
        <v>10</v>
      </c>
      <c r="Z36" s="2" t="s">
        <v>56</v>
      </c>
      <c r="AA36" s="1">
        <v>1</v>
      </c>
      <c r="AB36" s="35" t="s">
        <v>51</v>
      </c>
      <c r="AC36" s="35" t="s">
        <v>25</v>
      </c>
      <c r="AD36" s="36">
        <f>F36*$AC$5</f>
        <v>345000</v>
      </c>
      <c r="AE36" s="31">
        <f t="shared" si="9"/>
        <v>345000</v>
      </c>
      <c r="AG36" s="39">
        <v>10</v>
      </c>
      <c r="AH36" s="2" t="s">
        <v>56</v>
      </c>
      <c r="AI36" s="1">
        <v>1</v>
      </c>
      <c r="AJ36" s="35" t="s">
        <v>51</v>
      </c>
      <c r="AK36" s="35" t="s">
        <v>25</v>
      </c>
      <c r="AL36" s="36">
        <f>F36*$AK$5</f>
        <v>345000</v>
      </c>
      <c r="AM36" s="31">
        <f t="shared" si="10"/>
        <v>345000</v>
      </c>
    </row>
    <row r="37" spans="1:39" s="3" customFormat="1" ht="14.55" customHeight="1" x14ac:dyDescent="0.45">
      <c r="A37" s="4">
        <v>11</v>
      </c>
      <c r="B37" s="2" t="s">
        <v>57</v>
      </c>
      <c r="C37" s="1">
        <v>1</v>
      </c>
      <c r="D37" s="35" t="s">
        <v>58</v>
      </c>
      <c r="E37" s="38" t="s">
        <v>48</v>
      </c>
      <c r="F37" s="36">
        <v>500000</v>
      </c>
      <c r="G37" s="31">
        <f t="shared" si="5"/>
        <v>500000</v>
      </c>
      <c r="I37" s="4">
        <v>11</v>
      </c>
      <c r="J37" s="2" t="s">
        <v>57</v>
      </c>
      <c r="K37" s="1">
        <v>1</v>
      </c>
      <c r="L37" s="35" t="s">
        <v>58</v>
      </c>
      <c r="M37" s="38" t="s">
        <v>48</v>
      </c>
      <c r="N37" s="36">
        <f t="shared" si="6"/>
        <v>550000</v>
      </c>
      <c r="O37" s="31">
        <f t="shared" si="7"/>
        <v>550000</v>
      </c>
      <c r="Q37" s="4">
        <v>11</v>
      </c>
      <c r="R37" s="2" t="s">
        <v>57</v>
      </c>
      <c r="S37" s="1">
        <v>1</v>
      </c>
      <c r="T37" s="35" t="s">
        <v>58</v>
      </c>
      <c r="U37" s="38" t="s">
        <v>48</v>
      </c>
      <c r="V37" s="36">
        <f>F37*$U$5</f>
        <v>550000</v>
      </c>
      <c r="W37" s="31">
        <f t="shared" si="8"/>
        <v>550000</v>
      </c>
      <c r="Y37" s="4">
        <v>11</v>
      </c>
      <c r="Z37" s="2" t="s">
        <v>57</v>
      </c>
      <c r="AA37" s="1">
        <v>1</v>
      </c>
      <c r="AB37" s="35" t="s">
        <v>58</v>
      </c>
      <c r="AC37" s="38" t="s">
        <v>48</v>
      </c>
      <c r="AD37" s="36">
        <f>F37*$AC$5</f>
        <v>575000</v>
      </c>
      <c r="AE37" s="31">
        <f t="shared" si="9"/>
        <v>575000</v>
      </c>
      <c r="AG37" s="4">
        <v>11</v>
      </c>
      <c r="AH37" s="2" t="s">
        <v>57</v>
      </c>
      <c r="AI37" s="1">
        <v>1</v>
      </c>
      <c r="AJ37" s="35" t="s">
        <v>58</v>
      </c>
      <c r="AK37" s="38" t="s">
        <v>48</v>
      </c>
      <c r="AL37" s="36">
        <f>F37*$AK$5</f>
        <v>575000</v>
      </c>
      <c r="AM37" s="31">
        <f t="shared" si="10"/>
        <v>575000</v>
      </c>
    </row>
    <row r="38" spans="1:39" s="3" customFormat="1" ht="14.55" customHeight="1" x14ac:dyDescent="0.45">
      <c r="A38" s="39">
        <v>12</v>
      </c>
      <c r="B38" s="2" t="s">
        <v>59</v>
      </c>
      <c r="C38" s="1">
        <v>1</v>
      </c>
      <c r="D38" s="35" t="s">
        <v>23</v>
      </c>
      <c r="E38" s="38" t="s">
        <v>48</v>
      </c>
      <c r="F38" s="36">
        <v>1400000</v>
      </c>
      <c r="G38" s="31">
        <f t="shared" si="5"/>
        <v>1400000</v>
      </c>
      <c r="I38" s="39">
        <v>12</v>
      </c>
      <c r="J38" s="2" t="s">
        <v>59</v>
      </c>
      <c r="K38" s="1">
        <v>1</v>
      </c>
      <c r="L38" s="35" t="s">
        <v>23</v>
      </c>
      <c r="M38" s="38" t="s">
        <v>48</v>
      </c>
      <c r="N38" s="36">
        <f t="shared" si="6"/>
        <v>1540000.0000000002</v>
      </c>
      <c r="O38" s="31">
        <f t="shared" si="7"/>
        <v>1540000.0000000002</v>
      </c>
      <c r="Q38" s="39">
        <v>12</v>
      </c>
      <c r="R38" s="2" t="s">
        <v>59</v>
      </c>
      <c r="S38" s="1">
        <v>1</v>
      </c>
      <c r="T38" s="35" t="s">
        <v>23</v>
      </c>
      <c r="U38" s="38" t="s">
        <v>48</v>
      </c>
      <c r="V38" s="36">
        <f>F38*$U$5</f>
        <v>1540000.0000000002</v>
      </c>
      <c r="W38" s="31">
        <f t="shared" si="8"/>
        <v>1540000.0000000002</v>
      </c>
      <c r="Y38" s="39">
        <v>12</v>
      </c>
      <c r="Z38" s="2" t="s">
        <v>59</v>
      </c>
      <c r="AA38" s="1">
        <v>1</v>
      </c>
      <c r="AB38" s="35" t="s">
        <v>23</v>
      </c>
      <c r="AC38" s="38" t="s">
        <v>48</v>
      </c>
      <c r="AD38" s="36">
        <f>F38*$AC$5</f>
        <v>1609999.9999999998</v>
      </c>
      <c r="AE38" s="31">
        <f t="shared" si="9"/>
        <v>1609999.9999999998</v>
      </c>
      <c r="AG38" s="39">
        <v>12</v>
      </c>
      <c r="AH38" s="2" t="s">
        <v>59</v>
      </c>
      <c r="AI38" s="1">
        <v>1</v>
      </c>
      <c r="AJ38" s="35" t="s">
        <v>23</v>
      </c>
      <c r="AK38" s="38" t="s">
        <v>48</v>
      </c>
      <c r="AL38" s="36">
        <f>F38*$AK$5</f>
        <v>1609999.9999999998</v>
      </c>
      <c r="AM38" s="31">
        <f t="shared" si="10"/>
        <v>1609999.9999999998</v>
      </c>
    </row>
    <row r="39" spans="1:39" s="3" customFormat="1" ht="14.55" customHeight="1" x14ac:dyDescent="0.45">
      <c r="A39" s="4">
        <v>13</v>
      </c>
      <c r="B39" s="2" t="s">
        <v>60</v>
      </c>
      <c r="C39" s="1">
        <v>2</v>
      </c>
      <c r="D39" s="35" t="s">
        <v>23</v>
      </c>
      <c r="E39" s="35" t="s">
        <v>25</v>
      </c>
      <c r="F39" s="36">
        <v>750000</v>
      </c>
      <c r="G39" s="31">
        <f t="shared" si="5"/>
        <v>1500000</v>
      </c>
      <c r="I39" s="4">
        <v>13</v>
      </c>
      <c r="J39" s="2" t="s">
        <v>60</v>
      </c>
      <c r="K39" s="1">
        <v>2</v>
      </c>
      <c r="L39" s="35" t="s">
        <v>23</v>
      </c>
      <c r="M39" s="35" t="s">
        <v>25</v>
      </c>
      <c r="N39" s="36">
        <f t="shared" si="6"/>
        <v>825000.00000000012</v>
      </c>
      <c r="O39" s="31">
        <f t="shared" si="7"/>
        <v>1650000.0000000002</v>
      </c>
      <c r="Q39" s="4">
        <v>13</v>
      </c>
      <c r="R39" s="2" t="s">
        <v>60</v>
      </c>
      <c r="S39" s="1">
        <v>2</v>
      </c>
      <c r="T39" s="35" t="s">
        <v>23</v>
      </c>
      <c r="U39" s="35" t="s">
        <v>25</v>
      </c>
      <c r="V39" s="36">
        <f>F39*$U$5</f>
        <v>825000.00000000012</v>
      </c>
      <c r="W39" s="31">
        <f t="shared" si="8"/>
        <v>1650000.0000000002</v>
      </c>
      <c r="Y39" s="4">
        <v>13</v>
      </c>
      <c r="Z39" s="2" t="s">
        <v>60</v>
      </c>
      <c r="AA39" s="1">
        <v>2</v>
      </c>
      <c r="AB39" s="35" t="s">
        <v>23</v>
      </c>
      <c r="AC39" s="35" t="s">
        <v>25</v>
      </c>
      <c r="AD39" s="36">
        <f>F39*$AC$5</f>
        <v>862499.99999999988</v>
      </c>
      <c r="AE39" s="31">
        <f t="shared" si="9"/>
        <v>1724999.9999999998</v>
      </c>
      <c r="AG39" s="4">
        <v>13</v>
      </c>
      <c r="AH39" s="2" t="s">
        <v>60</v>
      </c>
      <c r="AI39" s="1">
        <v>2</v>
      </c>
      <c r="AJ39" s="35" t="s">
        <v>23</v>
      </c>
      <c r="AK39" s="35" t="s">
        <v>25</v>
      </c>
      <c r="AL39" s="36">
        <f>F39*$AK$5</f>
        <v>862499.99999999988</v>
      </c>
      <c r="AM39" s="31">
        <f t="shared" si="10"/>
        <v>1724999.9999999998</v>
      </c>
    </row>
    <row r="40" spans="1:39" s="3" customFormat="1" ht="14.55" customHeight="1" x14ac:dyDescent="0.45">
      <c r="A40" s="39">
        <v>14</v>
      </c>
      <c r="B40" s="2" t="s">
        <v>61</v>
      </c>
      <c r="C40" s="1">
        <v>1</v>
      </c>
      <c r="D40" s="35" t="s">
        <v>23</v>
      </c>
      <c r="E40" s="35" t="s">
        <v>25</v>
      </c>
      <c r="F40" s="36">
        <v>2010000</v>
      </c>
      <c r="G40" s="31">
        <f t="shared" si="5"/>
        <v>2010000</v>
      </c>
      <c r="I40" s="39">
        <v>14</v>
      </c>
      <c r="J40" s="2" t="s">
        <v>61</v>
      </c>
      <c r="K40" s="1">
        <v>1</v>
      </c>
      <c r="L40" s="35" t="s">
        <v>23</v>
      </c>
      <c r="M40" s="35" t="s">
        <v>25</v>
      </c>
      <c r="N40" s="36">
        <f t="shared" si="6"/>
        <v>2211000</v>
      </c>
      <c r="O40" s="31">
        <f t="shared" si="7"/>
        <v>2211000</v>
      </c>
      <c r="Q40" s="39">
        <v>14</v>
      </c>
      <c r="R40" s="2" t="s">
        <v>61</v>
      </c>
      <c r="S40" s="1">
        <v>1</v>
      </c>
      <c r="T40" s="35" t="s">
        <v>23</v>
      </c>
      <c r="U40" s="35" t="s">
        <v>25</v>
      </c>
      <c r="V40" s="36">
        <f>F40*$U$5</f>
        <v>2211000</v>
      </c>
      <c r="W40" s="31">
        <f t="shared" si="8"/>
        <v>2211000</v>
      </c>
      <c r="Y40" s="39">
        <v>14</v>
      </c>
      <c r="Z40" s="2" t="s">
        <v>61</v>
      </c>
      <c r="AA40" s="1">
        <v>1</v>
      </c>
      <c r="AB40" s="35" t="s">
        <v>23</v>
      </c>
      <c r="AC40" s="35" t="s">
        <v>25</v>
      </c>
      <c r="AD40" s="36">
        <f>F40*$AC$5</f>
        <v>2311500</v>
      </c>
      <c r="AE40" s="31">
        <f t="shared" si="9"/>
        <v>2311500</v>
      </c>
      <c r="AG40" s="39">
        <v>14</v>
      </c>
      <c r="AH40" s="2" t="s">
        <v>61</v>
      </c>
      <c r="AI40" s="1">
        <v>1</v>
      </c>
      <c r="AJ40" s="35" t="s">
        <v>23</v>
      </c>
      <c r="AK40" s="35" t="s">
        <v>25</v>
      </c>
      <c r="AL40" s="36">
        <f>F40*$AK$5</f>
        <v>2311500</v>
      </c>
      <c r="AM40" s="31">
        <f t="shared" si="10"/>
        <v>2311500</v>
      </c>
    </row>
    <row r="41" spans="1:39" s="3" customFormat="1" ht="14.55" customHeight="1" x14ac:dyDescent="0.45">
      <c r="A41" s="39"/>
      <c r="B41" s="10"/>
      <c r="C41" s="1"/>
      <c r="D41" s="35"/>
      <c r="E41" s="35"/>
      <c r="F41" s="36"/>
      <c r="G41" s="31"/>
      <c r="I41" s="39"/>
      <c r="J41" s="10"/>
      <c r="K41" s="1"/>
      <c r="L41" s="35"/>
      <c r="M41" s="35"/>
      <c r="N41" s="36"/>
      <c r="O41" s="31"/>
      <c r="Q41" s="39"/>
      <c r="R41" s="10"/>
      <c r="S41" s="1"/>
      <c r="T41" s="35"/>
      <c r="U41" s="35"/>
      <c r="V41" s="36"/>
      <c r="W41" s="31"/>
      <c r="Y41" s="39"/>
      <c r="Z41" s="10"/>
      <c r="AA41" s="1"/>
      <c r="AB41" s="35"/>
      <c r="AC41" s="35"/>
      <c r="AD41" s="36"/>
      <c r="AE41" s="31"/>
      <c r="AG41" s="39"/>
      <c r="AH41" s="10"/>
      <c r="AI41" s="1"/>
      <c r="AJ41" s="35"/>
      <c r="AK41" s="35"/>
      <c r="AL41" s="36"/>
      <c r="AM41" s="31"/>
    </row>
    <row r="42" spans="1:39" x14ac:dyDescent="0.45">
      <c r="A42" s="27" t="s">
        <v>62</v>
      </c>
      <c r="B42" s="41" t="s">
        <v>63</v>
      </c>
      <c r="C42" s="32"/>
      <c r="D42" s="32"/>
      <c r="E42" s="32"/>
      <c r="F42" s="33"/>
      <c r="G42" s="29">
        <f>SUM(G43:G50)</f>
        <v>42037500</v>
      </c>
      <c r="I42" s="27" t="s">
        <v>62</v>
      </c>
      <c r="J42" s="41" t="s">
        <v>63</v>
      </c>
      <c r="K42" s="32"/>
      <c r="L42" s="32"/>
      <c r="M42" s="32"/>
      <c r="N42" s="33"/>
      <c r="O42" s="29">
        <f>SUM(O43:O50)</f>
        <v>46241250.000000007</v>
      </c>
      <c r="Q42" s="27" t="s">
        <v>62</v>
      </c>
      <c r="R42" s="41" t="s">
        <v>63</v>
      </c>
      <c r="S42" s="32"/>
      <c r="T42" s="32"/>
      <c r="U42" s="32"/>
      <c r="V42" s="33"/>
      <c r="W42" s="29">
        <f>SUM(W43:W50)</f>
        <v>46241250.000000007</v>
      </c>
      <c r="Y42" s="27" t="s">
        <v>62</v>
      </c>
      <c r="Z42" s="41" t="s">
        <v>63</v>
      </c>
      <c r="AA42" s="32"/>
      <c r="AB42" s="32"/>
      <c r="AC42" s="32"/>
      <c r="AD42" s="33"/>
      <c r="AE42" s="29">
        <f>SUM(AE43:AE50)</f>
        <v>48343124.999999993</v>
      </c>
      <c r="AG42" s="27" t="s">
        <v>62</v>
      </c>
      <c r="AH42" s="41" t="s">
        <v>63</v>
      </c>
      <c r="AI42" s="32"/>
      <c r="AJ42" s="32"/>
      <c r="AK42" s="32"/>
      <c r="AL42" s="33"/>
      <c r="AM42" s="29">
        <f>SUM(AM43:AM50)</f>
        <v>48343124.999999993</v>
      </c>
    </row>
    <row r="43" spans="1:39" ht="29.55" customHeight="1" x14ac:dyDescent="0.45">
      <c r="A43" s="4">
        <v>1</v>
      </c>
      <c r="B43" s="35" t="s">
        <v>101</v>
      </c>
      <c r="C43" s="35">
        <v>25</v>
      </c>
      <c r="D43" s="35" t="s">
        <v>65</v>
      </c>
      <c r="E43" s="34" t="s">
        <v>66</v>
      </c>
      <c r="F43" s="36">
        <f>650000*1.2</f>
        <v>780000</v>
      </c>
      <c r="G43" s="31">
        <f t="shared" ref="G43:G50" si="11">C43*F43</f>
        <v>19500000</v>
      </c>
      <c r="I43" s="4">
        <v>1</v>
      </c>
      <c r="J43" s="35" t="s">
        <v>101</v>
      </c>
      <c r="K43" s="35">
        <v>25</v>
      </c>
      <c r="L43" s="35" t="s">
        <v>65</v>
      </c>
      <c r="M43" s="34" t="s">
        <v>66</v>
      </c>
      <c r="N43" s="36">
        <f>F43*$M$5</f>
        <v>858000.00000000012</v>
      </c>
      <c r="O43" s="31">
        <f t="shared" ref="O43:O50" si="12">K43*N43</f>
        <v>21450000.000000004</v>
      </c>
      <c r="Q43" s="4">
        <v>1</v>
      </c>
      <c r="R43" s="35" t="s">
        <v>101</v>
      </c>
      <c r="S43" s="35">
        <v>25</v>
      </c>
      <c r="T43" s="35" t="s">
        <v>65</v>
      </c>
      <c r="U43" s="34" t="s">
        <v>66</v>
      </c>
      <c r="V43" s="36">
        <f>F43*$U$5</f>
        <v>858000.00000000012</v>
      </c>
      <c r="W43" s="31">
        <f t="shared" ref="W43:W50" si="13">S43*V43</f>
        <v>21450000.000000004</v>
      </c>
      <c r="Y43" s="4">
        <v>1</v>
      </c>
      <c r="Z43" s="35" t="s">
        <v>101</v>
      </c>
      <c r="AA43" s="35">
        <v>25</v>
      </c>
      <c r="AB43" s="35" t="s">
        <v>65</v>
      </c>
      <c r="AC43" s="34" t="s">
        <v>66</v>
      </c>
      <c r="AD43" s="36">
        <f>F43*$AC$5</f>
        <v>896999.99999999988</v>
      </c>
      <c r="AE43" s="31">
        <f t="shared" ref="AE43:AE50" si="14">AA43*AD43</f>
        <v>22424999.999999996</v>
      </c>
      <c r="AG43" s="4">
        <v>1</v>
      </c>
      <c r="AH43" s="35" t="s">
        <v>101</v>
      </c>
      <c r="AI43" s="35">
        <v>25</v>
      </c>
      <c r="AJ43" s="35" t="s">
        <v>65</v>
      </c>
      <c r="AK43" s="34" t="s">
        <v>66</v>
      </c>
      <c r="AL43" s="36">
        <f>F43*$AK$5</f>
        <v>896999.99999999988</v>
      </c>
      <c r="AM43" s="31">
        <f t="shared" ref="AM43:AM50" si="15">AI43*AL43</f>
        <v>22424999.999999996</v>
      </c>
    </row>
    <row r="44" spans="1:39" ht="26.25" x14ac:dyDescent="0.45">
      <c r="A44" s="4">
        <v>2</v>
      </c>
      <c r="B44" s="35" t="s">
        <v>102</v>
      </c>
      <c r="C44" s="35">
        <v>20</v>
      </c>
      <c r="D44" s="35" t="s">
        <v>65</v>
      </c>
      <c r="E44" s="34" t="s">
        <v>66</v>
      </c>
      <c r="F44" s="36">
        <f>650000*1.2</f>
        <v>780000</v>
      </c>
      <c r="G44" s="31">
        <f t="shared" si="11"/>
        <v>15600000</v>
      </c>
      <c r="I44" s="4">
        <v>2</v>
      </c>
      <c r="J44" s="35" t="s">
        <v>102</v>
      </c>
      <c r="K44" s="35">
        <v>20</v>
      </c>
      <c r="L44" s="35" t="s">
        <v>65</v>
      </c>
      <c r="M44" s="34" t="s">
        <v>66</v>
      </c>
      <c r="N44" s="36">
        <f t="shared" ref="N44:N49" si="16">F44*$M$5</f>
        <v>858000.00000000012</v>
      </c>
      <c r="O44" s="31">
        <f t="shared" si="12"/>
        <v>17160000.000000004</v>
      </c>
      <c r="Q44" s="4">
        <v>2</v>
      </c>
      <c r="R44" s="35" t="s">
        <v>102</v>
      </c>
      <c r="S44" s="35">
        <v>20</v>
      </c>
      <c r="T44" s="35" t="s">
        <v>65</v>
      </c>
      <c r="U44" s="34" t="s">
        <v>66</v>
      </c>
      <c r="V44" s="36">
        <f>F44*$U$5</f>
        <v>858000.00000000012</v>
      </c>
      <c r="W44" s="31">
        <f t="shared" si="13"/>
        <v>17160000.000000004</v>
      </c>
      <c r="Y44" s="4">
        <v>2</v>
      </c>
      <c r="Z44" s="35" t="s">
        <v>102</v>
      </c>
      <c r="AA44" s="35">
        <v>20</v>
      </c>
      <c r="AB44" s="35" t="s">
        <v>65</v>
      </c>
      <c r="AC44" s="34" t="s">
        <v>66</v>
      </c>
      <c r="AD44" s="36">
        <f>F44*$AC$5</f>
        <v>896999.99999999988</v>
      </c>
      <c r="AE44" s="31">
        <f t="shared" si="14"/>
        <v>17939999.999999996</v>
      </c>
      <c r="AG44" s="4">
        <v>2</v>
      </c>
      <c r="AH44" s="35" t="s">
        <v>102</v>
      </c>
      <c r="AI44" s="35">
        <v>20</v>
      </c>
      <c r="AJ44" s="35" t="s">
        <v>65</v>
      </c>
      <c r="AK44" s="34" t="s">
        <v>66</v>
      </c>
      <c r="AL44" s="36">
        <f>F44*$AK$5</f>
        <v>896999.99999999988</v>
      </c>
      <c r="AM44" s="31">
        <f t="shared" si="15"/>
        <v>17939999.999999996</v>
      </c>
    </row>
    <row r="45" spans="1:39" ht="26.25" x14ac:dyDescent="0.45">
      <c r="A45" s="4">
        <v>3</v>
      </c>
      <c r="B45" s="35" t="s">
        <v>97</v>
      </c>
      <c r="C45" s="35">
        <v>25</v>
      </c>
      <c r="D45" s="35" t="s">
        <v>65</v>
      </c>
      <c r="E45" s="34" t="s">
        <v>66</v>
      </c>
      <c r="F45" s="36">
        <f>44400*1.25</f>
        <v>55500</v>
      </c>
      <c r="G45" s="31">
        <f t="shared" si="11"/>
        <v>1387500</v>
      </c>
      <c r="I45" s="4">
        <v>3</v>
      </c>
      <c r="J45" s="35" t="s">
        <v>97</v>
      </c>
      <c r="K45" s="35">
        <v>25</v>
      </c>
      <c r="L45" s="35" t="s">
        <v>65</v>
      </c>
      <c r="M45" s="34" t="s">
        <v>66</v>
      </c>
      <c r="N45" s="36">
        <f t="shared" si="16"/>
        <v>61050.000000000007</v>
      </c>
      <c r="O45" s="31">
        <f t="shared" si="12"/>
        <v>1526250.0000000002</v>
      </c>
      <c r="Q45" s="4">
        <v>3</v>
      </c>
      <c r="R45" s="35" t="s">
        <v>97</v>
      </c>
      <c r="S45" s="35">
        <v>25</v>
      </c>
      <c r="T45" s="35" t="s">
        <v>65</v>
      </c>
      <c r="U45" s="34" t="s">
        <v>66</v>
      </c>
      <c r="V45" s="36">
        <f>F45*$U$5</f>
        <v>61050.000000000007</v>
      </c>
      <c r="W45" s="31">
        <f t="shared" si="13"/>
        <v>1526250.0000000002</v>
      </c>
      <c r="Y45" s="4">
        <v>3</v>
      </c>
      <c r="Z45" s="35" t="s">
        <v>97</v>
      </c>
      <c r="AA45" s="35">
        <v>25</v>
      </c>
      <c r="AB45" s="35" t="s">
        <v>65</v>
      </c>
      <c r="AC45" s="34" t="s">
        <v>66</v>
      </c>
      <c r="AD45" s="36">
        <f>F45*$AC$5</f>
        <v>63824.999999999993</v>
      </c>
      <c r="AE45" s="31">
        <f t="shared" si="14"/>
        <v>1595624.9999999998</v>
      </c>
      <c r="AG45" s="4">
        <v>3</v>
      </c>
      <c r="AH45" s="35" t="s">
        <v>97</v>
      </c>
      <c r="AI45" s="35">
        <v>25</v>
      </c>
      <c r="AJ45" s="35" t="s">
        <v>65</v>
      </c>
      <c r="AK45" s="34" t="s">
        <v>66</v>
      </c>
      <c r="AL45" s="36">
        <f>F45*$AK$5</f>
        <v>63824.999999999993</v>
      </c>
      <c r="AM45" s="31">
        <f t="shared" si="15"/>
        <v>1595624.9999999998</v>
      </c>
    </row>
    <row r="46" spans="1:39" x14ac:dyDescent="0.45">
      <c r="A46" s="4">
        <v>4</v>
      </c>
      <c r="B46" s="35" t="s">
        <v>69</v>
      </c>
      <c r="C46" s="35">
        <v>40</v>
      </c>
      <c r="D46" s="35" t="s">
        <v>65</v>
      </c>
      <c r="E46" s="35" t="s">
        <v>25</v>
      </c>
      <c r="F46" s="36">
        <v>65000</v>
      </c>
      <c r="G46" s="31">
        <f t="shared" si="11"/>
        <v>2600000</v>
      </c>
      <c r="I46" s="4">
        <v>4</v>
      </c>
      <c r="J46" s="35" t="s">
        <v>69</v>
      </c>
      <c r="K46" s="35">
        <v>40</v>
      </c>
      <c r="L46" s="35" t="s">
        <v>65</v>
      </c>
      <c r="M46" s="35" t="s">
        <v>25</v>
      </c>
      <c r="N46" s="36">
        <f t="shared" si="16"/>
        <v>71500</v>
      </c>
      <c r="O46" s="31">
        <f t="shared" si="12"/>
        <v>2860000</v>
      </c>
      <c r="Q46" s="4">
        <v>4</v>
      </c>
      <c r="R46" s="35" t="s">
        <v>69</v>
      </c>
      <c r="S46" s="35">
        <v>40</v>
      </c>
      <c r="T46" s="35" t="s">
        <v>65</v>
      </c>
      <c r="U46" s="35" t="s">
        <v>25</v>
      </c>
      <c r="V46" s="36">
        <f>F46*$U$5</f>
        <v>71500</v>
      </c>
      <c r="W46" s="31">
        <f t="shared" si="13"/>
        <v>2860000</v>
      </c>
      <c r="Y46" s="4">
        <v>4</v>
      </c>
      <c r="Z46" s="35" t="s">
        <v>69</v>
      </c>
      <c r="AA46" s="35">
        <v>40</v>
      </c>
      <c r="AB46" s="35" t="s">
        <v>65</v>
      </c>
      <c r="AC46" s="35" t="s">
        <v>25</v>
      </c>
      <c r="AD46" s="36">
        <f>F46*$AC$5</f>
        <v>74750</v>
      </c>
      <c r="AE46" s="31">
        <f t="shared" si="14"/>
        <v>2990000</v>
      </c>
      <c r="AG46" s="4">
        <v>4</v>
      </c>
      <c r="AH46" s="35" t="s">
        <v>69</v>
      </c>
      <c r="AI46" s="35">
        <v>40</v>
      </c>
      <c r="AJ46" s="35" t="s">
        <v>65</v>
      </c>
      <c r="AK46" s="35" t="s">
        <v>25</v>
      </c>
      <c r="AL46" s="36">
        <f>F46*$AK$5</f>
        <v>74750</v>
      </c>
      <c r="AM46" s="31">
        <f t="shared" si="15"/>
        <v>2990000</v>
      </c>
    </row>
    <row r="47" spans="1:39" x14ac:dyDescent="0.45">
      <c r="A47" s="4">
        <v>5</v>
      </c>
      <c r="B47" s="35" t="s">
        <v>70</v>
      </c>
      <c r="C47" s="35">
        <v>20</v>
      </c>
      <c r="D47" s="35" t="s">
        <v>65</v>
      </c>
      <c r="E47" s="35" t="s">
        <v>71</v>
      </c>
      <c r="F47" s="36">
        <v>25000</v>
      </c>
      <c r="G47" s="31">
        <f t="shared" si="11"/>
        <v>500000</v>
      </c>
      <c r="I47" s="4">
        <v>5</v>
      </c>
      <c r="J47" s="35" t="s">
        <v>70</v>
      </c>
      <c r="K47" s="35">
        <v>20</v>
      </c>
      <c r="L47" s="35" t="s">
        <v>65</v>
      </c>
      <c r="M47" s="35" t="s">
        <v>71</v>
      </c>
      <c r="N47" s="36">
        <f t="shared" si="16"/>
        <v>27500.000000000004</v>
      </c>
      <c r="O47" s="31">
        <f t="shared" si="12"/>
        <v>550000.00000000012</v>
      </c>
      <c r="Q47" s="4">
        <v>5</v>
      </c>
      <c r="R47" s="35" t="s">
        <v>70</v>
      </c>
      <c r="S47" s="35">
        <v>20</v>
      </c>
      <c r="T47" s="35" t="s">
        <v>65</v>
      </c>
      <c r="U47" s="35" t="s">
        <v>71</v>
      </c>
      <c r="V47" s="36">
        <f>F47*$U$5</f>
        <v>27500.000000000004</v>
      </c>
      <c r="W47" s="31">
        <f t="shared" si="13"/>
        <v>550000.00000000012</v>
      </c>
      <c r="Y47" s="4">
        <v>5</v>
      </c>
      <c r="Z47" s="35" t="s">
        <v>70</v>
      </c>
      <c r="AA47" s="35">
        <v>20</v>
      </c>
      <c r="AB47" s="35" t="s">
        <v>65</v>
      </c>
      <c r="AC47" s="35" t="s">
        <v>71</v>
      </c>
      <c r="AD47" s="36">
        <f>F47*$AC$5</f>
        <v>28749.999999999996</v>
      </c>
      <c r="AE47" s="31">
        <f t="shared" si="14"/>
        <v>574999.99999999988</v>
      </c>
      <c r="AG47" s="4">
        <v>5</v>
      </c>
      <c r="AH47" s="35" t="s">
        <v>70</v>
      </c>
      <c r="AI47" s="35">
        <v>20</v>
      </c>
      <c r="AJ47" s="35" t="s">
        <v>65</v>
      </c>
      <c r="AK47" s="35" t="s">
        <v>71</v>
      </c>
      <c r="AL47" s="36">
        <f>F47*$AK$5</f>
        <v>28749.999999999996</v>
      </c>
      <c r="AM47" s="31">
        <f t="shared" si="15"/>
        <v>574999.99999999988</v>
      </c>
    </row>
    <row r="48" spans="1:39" x14ac:dyDescent="0.45">
      <c r="A48" s="4">
        <v>6</v>
      </c>
      <c r="B48" s="35" t="s">
        <v>72</v>
      </c>
      <c r="C48" s="35">
        <v>4</v>
      </c>
      <c r="D48" s="35" t="s">
        <v>23</v>
      </c>
      <c r="E48" s="35" t="s">
        <v>71</v>
      </c>
      <c r="F48" s="36">
        <v>25000</v>
      </c>
      <c r="G48" s="31">
        <f t="shared" si="11"/>
        <v>100000</v>
      </c>
      <c r="I48" s="4">
        <v>6</v>
      </c>
      <c r="J48" s="35" t="s">
        <v>72</v>
      </c>
      <c r="K48" s="35">
        <v>4</v>
      </c>
      <c r="L48" s="35" t="s">
        <v>23</v>
      </c>
      <c r="M48" s="35" t="s">
        <v>71</v>
      </c>
      <c r="N48" s="36">
        <f t="shared" si="16"/>
        <v>27500.000000000004</v>
      </c>
      <c r="O48" s="31">
        <f t="shared" si="12"/>
        <v>110000.00000000001</v>
      </c>
      <c r="Q48" s="4">
        <v>6</v>
      </c>
      <c r="R48" s="35" t="s">
        <v>72</v>
      </c>
      <c r="S48" s="35">
        <v>4</v>
      </c>
      <c r="T48" s="35" t="s">
        <v>23</v>
      </c>
      <c r="U48" s="35" t="s">
        <v>71</v>
      </c>
      <c r="V48" s="36">
        <f>F48*$U$5</f>
        <v>27500.000000000004</v>
      </c>
      <c r="W48" s="31">
        <f t="shared" si="13"/>
        <v>110000.00000000001</v>
      </c>
      <c r="Y48" s="4">
        <v>6</v>
      </c>
      <c r="Z48" s="35" t="s">
        <v>72</v>
      </c>
      <c r="AA48" s="35">
        <v>4</v>
      </c>
      <c r="AB48" s="35" t="s">
        <v>23</v>
      </c>
      <c r="AC48" s="35" t="s">
        <v>71</v>
      </c>
      <c r="AD48" s="36">
        <f>F48*$AC$5</f>
        <v>28749.999999999996</v>
      </c>
      <c r="AE48" s="31">
        <f t="shared" si="14"/>
        <v>114999.99999999999</v>
      </c>
      <c r="AG48" s="4">
        <v>6</v>
      </c>
      <c r="AH48" s="35" t="s">
        <v>72</v>
      </c>
      <c r="AI48" s="35">
        <v>4</v>
      </c>
      <c r="AJ48" s="35" t="s">
        <v>23</v>
      </c>
      <c r="AK48" s="35" t="s">
        <v>71</v>
      </c>
      <c r="AL48" s="36">
        <f>F48*$AK$5</f>
        <v>28749.999999999996</v>
      </c>
      <c r="AM48" s="31">
        <f t="shared" si="15"/>
        <v>114999.99999999999</v>
      </c>
    </row>
    <row r="49" spans="1:39" x14ac:dyDescent="0.45">
      <c r="A49" s="4">
        <v>7</v>
      </c>
      <c r="B49" s="35" t="s">
        <v>73</v>
      </c>
      <c r="C49" s="35">
        <v>4</v>
      </c>
      <c r="D49" s="35" t="s">
        <v>23</v>
      </c>
      <c r="E49" s="35" t="s">
        <v>71</v>
      </c>
      <c r="F49" s="36">
        <v>25000</v>
      </c>
      <c r="G49" s="31">
        <f t="shared" si="11"/>
        <v>100000</v>
      </c>
      <c r="I49" s="4">
        <v>7</v>
      </c>
      <c r="J49" s="35" t="s">
        <v>73</v>
      </c>
      <c r="K49" s="35">
        <v>4</v>
      </c>
      <c r="L49" s="35" t="s">
        <v>23</v>
      </c>
      <c r="M49" s="35" t="s">
        <v>71</v>
      </c>
      <c r="N49" s="36">
        <f t="shared" si="16"/>
        <v>27500.000000000004</v>
      </c>
      <c r="O49" s="31">
        <f t="shared" si="12"/>
        <v>110000.00000000001</v>
      </c>
      <c r="Q49" s="4">
        <v>7</v>
      </c>
      <c r="R49" s="35" t="s">
        <v>73</v>
      </c>
      <c r="S49" s="35">
        <v>4</v>
      </c>
      <c r="T49" s="35" t="s">
        <v>23</v>
      </c>
      <c r="U49" s="35" t="s">
        <v>71</v>
      </c>
      <c r="V49" s="36">
        <f>F49*$U$5</f>
        <v>27500.000000000004</v>
      </c>
      <c r="W49" s="31">
        <f t="shared" si="13"/>
        <v>110000.00000000001</v>
      </c>
      <c r="Y49" s="4">
        <v>7</v>
      </c>
      <c r="Z49" s="35" t="s">
        <v>73</v>
      </c>
      <c r="AA49" s="35">
        <v>4</v>
      </c>
      <c r="AB49" s="35" t="s">
        <v>23</v>
      </c>
      <c r="AC49" s="35" t="s">
        <v>71</v>
      </c>
      <c r="AD49" s="36">
        <f>F49*$AC$5</f>
        <v>28749.999999999996</v>
      </c>
      <c r="AE49" s="31">
        <f t="shared" si="14"/>
        <v>114999.99999999999</v>
      </c>
      <c r="AG49" s="4">
        <v>7</v>
      </c>
      <c r="AH49" s="35" t="s">
        <v>73</v>
      </c>
      <c r="AI49" s="35">
        <v>4</v>
      </c>
      <c r="AJ49" s="35" t="s">
        <v>23</v>
      </c>
      <c r="AK49" s="35" t="s">
        <v>71</v>
      </c>
      <c r="AL49" s="36">
        <f>F49*$AK$5</f>
        <v>28749.999999999996</v>
      </c>
      <c r="AM49" s="31">
        <f t="shared" si="15"/>
        <v>114999.99999999999</v>
      </c>
    </row>
    <row r="50" spans="1:39" x14ac:dyDescent="0.45">
      <c r="A50" s="4">
        <v>8</v>
      </c>
      <c r="B50" s="35" t="s">
        <v>74</v>
      </c>
      <c r="C50" s="35">
        <v>30</v>
      </c>
      <c r="D50" s="35" t="s">
        <v>65</v>
      </c>
      <c r="E50" s="35" t="s">
        <v>25</v>
      </c>
      <c r="F50" s="36">
        <v>75000</v>
      </c>
      <c r="G50" s="31">
        <f t="shared" si="11"/>
        <v>2250000</v>
      </c>
      <c r="I50" s="4">
        <v>8</v>
      </c>
      <c r="J50" s="35" t="s">
        <v>74</v>
      </c>
      <c r="K50" s="35">
        <v>30</v>
      </c>
      <c r="L50" s="35" t="s">
        <v>65</v>
      </c>
      <c r="M50" s="35" t="s">
        <v>25</v>
      </c>
      <c r="N50" s="36">
        <f>F50*$M$5</f>
        <v>82500</v>
      </c>
      <c r="O50" s="31">
        <f t="shared" si="12"/>
        <v>2475000</v>
      </c>
      <c r="Q50" s="4">
        <v>8</v>
      </c>
      <c r="R50" s="35" t="s">
        <v>74</v>
      </c>
      <c r="S50" s="35">
        <v>30</v>
      </c>
      <c r="T50" s="35" t="s">
        <v>65</v>
      </c>
      <c r="U50" s="35" t="s">
        <v>25</v>
      </c>
      <c r="V50" s="36">
        <f>F50*$U$5</f>
        <v>82500</v>
      </c>
      <c r="W50" s="31">
        <f t="shared" si="13"/>
        <v>2475000</v>
      </c>
      <c r="Y50" s="4">
        <v>8</v>
      </c>
      <c r="Z50" s="35" t="s">
        <v>74</v>
      </c>
      <c r="AA50" s="35">
        <v>30</v>
      </c>
      <c r="AB50" s="35" t="s">
        <v>65</v>
      </c>
      <c r="AC50" s="35" t="s">
        <v>25</v>
      </c>
      <c r="AD50" s="36">
        <f>F50*$AC$5</f>
        <v>86250</v>
      </c>
      <c r="AE50" s="31">
        <f t="shared" si="14"/>
        <v>2587500</v>
      </c>
      <c r="AG50" s="4">
        <v>8</v>
      </c>
      <c r="AH50" s="35" t="s">
        <v>74</v>
      </c>
      <c r="AI50" s="35">
        <v>30</v>
      </c>
      <c r="AJ50" s="35" t="s">
        <v>65</v>
      </c>
      <c r="AK50" s="35" t="s">
        <v>25</v>
      </c>
      <c r="AL50" s="36">
        <f>F50*$AK$5</f>
        <v>86250</v>
      </c>
      <c r="AM50" s="31">
        <f t="shared" si="15"/>
        <v>2587500</v>
      </c>
    </row>
    <row r="51" spans="1:39" x14ac:dyDescent="0.45">
      <c r="B51" s="42"/>
      <c r="C51" s="42"/>
      <c r="D51" s="42"/>
      <c r="E51" s="42"/>
      <c r="F51" s="43"/>
      <c r="G51" s="44"/>
      <c r="J51" s="42"/>
      <c r="K51" s="42"/>
      <c r="L51" s="42"/>
      <c r="M51" s="42"/>
      <c r="N51" s="43"/>
      <c r="O51" s="44"/>
      <c r="R51" s="42"/>
      <c r="S51" s="42"/>
      <c r="T51" s="42"/>
      <c r="U51" s="42"/>
      <c r="V51" s="43"/>
      <c r="W51" s="44"/>
      <c r="Z51" s="42"/>
      <c r="AA51" s="42"/>
      <c r="AB51" s="42"/>
      <c r="AC51" s="42"/>
      <c r="AD51" s="36"/>
      <c r="AE51" s="44"/>
      <c r="AH51" s="42"/>
      <c r="AI51" s="42"/>
      <c r="AJ51" s="42"/>
      <c r="AK51" s="42"/>
      <c r="AL51" s="36"/>
      <c r="AM51" s="44"/>
    </row>
    <row r="52" spans="1:39" x14ac:dyDescent="0.45">
      <c r="A52" s="45" t="s">
        <v>75</v>
      </c>
      <c r="B52" s="46" t="s">
        <v>76</v>
      </c>
      <c r="C52" s="47">
        <v>1</v>
      </c>
      <c r="D52" s="47" t="s">
        <v>16</v>
      </c>
      <c r="E52" s="47"/>
      <c r="F52" s="48">
        <v>1000000</v>
      </c>
      <c r="G52" s="48">
        <f>C52*F52</f>
        <v>1000000</v>
      </c>
      <c r="I52" s="45" t="s">
        <v>75</v>
      </c>
      <c r="J52" s="46" t="s">
        <v>77</v>
      </c>
      <c r="K52" s="47">
        <v>1</v>
      </c>
      <c r="L52" s="47" t="s">
        <v>16</v>
      </c>
      <c r="M52" s="47"/>
      <c r="N52" s="48">
        <f>F52*$M$5</f>
        <v>1100000</v>
      </c>
      <c r="O52" s="48">
        <f>K52*N52</f>
        <v>1100000</v>
      </c>
      <c r="Q52" s="45" t="s">
        <v>75</v>
      </c>
      <c r="R52" s="46" t="s">
        <v>78</v>
      </c>
      <c r="S52" s="47">
        <v>1</v>
      </c>
      <c r="T52" s="47" t="s">
        <v>16</v>
      </c>
      <c r="U52" s="47"/>
      <c r="V52" s="48">
        <f>F52*$U$5</f>
        <v>1100000</v>
      </c>
      <c r="W52" s="48">
        <f>S52*V52</f>
        <v>1100000</v>
      </c>
      <c r="Y52" s="45" t="s">
        <v>75</v>
      </c>
      <c r="Z52" s="46" t="s">
        <v>79</v>
      </c>
      <c r="AA52" s="47">
        <v>1</v>
      </c>
      <c r="AB52" s="47" t="s">
        <v>16</v>
      </c>
      <c r="AC52" s="47"/>
      <c r="AD52" s="48">
        <f>F52*$AC$5</f>
        <v>1150000</v>
      </c>
      <c r="AE52" s="48">
        <f>AA52*AD52</f>
        <v>1150000</v>
      </c>
      <c r="AG52" s="45" t="s">
        <v>75</v>
      </c>
      <c r="AH52" s="46" t="s">
        <v>80</v>
      </c>
      <c r="AI52" s="47">
        <v>1</v>
      </c>
      <c r="AJ52" s="47" t="s">
        <v>16</v>
      </c>
      <c r="AK52" s="47"/>
      <c r="AL52" s="48">
        <f>F52*$AK$5</f>
        <v>1150000</v>
      </c>
      <c r="AM52" s="48">
        <f>AI52*AL52</f>
        <v>1150000</v>
      </c>
    </row>
    <row r="53" spans="1:39" s="51" customFormat="1" x14ac:dyDescent="0.45">
      <c r="A53" s="49"/>
      <c r="B53" s="50"/>
      <c r="C53" s="35"/>
      <c r="D53" s="35"/>
      <c r="E53" s="35"/>
      <c r="F53" s="36"/>
      <c r="G53" s="36"/>
      <c r="I53" s="49"/>
      <c r="J53" s="50"/>
      <c r="K53" s="35"/>
      <c r="L53" s="35"/>
      <c r="M53" s="35"/>
      <c r="N53" s="36"/>
      <c r="O53" s="36"/>
      <c r="Q53" s="49"/>
      <c r="R53" s="50"/>
      <c r="S53" s="35"/>
      <c r="T53" s="35"/>
      <c r="U53" s="35"/>
      <c r="V53" s="36"/>
      <c r="W53" s="36"/>
      <c r="Y53" s="49"/>
      <c r="Z53" s="50"/>
      <c r="AA53" s="35"/>
      <c r="AB53" s="35"/>
      <c r="AC53" s="35"/>
      <c r="AD53" s="36"/>
      <c r="AE53" s="36"/>
      <c r="AG53" s="49"/>
      <c r="AH53" s="50"/>
      <c r="AI53" s="35"/>
      <c r="AJ53" s="35"/>
      <c r="AK53" s="35"/>
      <c r="AL53" s="36"/>
      <c r="AM53" s="36"/>
    </row>
    <row r="54" spans="1:39" x14ac:dyDescent="0.45">
      <c r="E54" s="57"/>
      <c r="F54" s="52" t="s">
        <v>81</v>
      </c>
      <c r="G54" s="52">
        <f>G8+G13+G20+G26+G42+G52</f>
        <v>113017170</v>
      </c>
      <c r="N54" s="52" t="s">
        <v>81</v>
      </c>
      <c r="O54" s="52">
        <f>O8+O13+O20+O26+O42+O52</f>
        <v>123104837</v>
      </c>
      <c r="V54" s="52" t="s">
        <v>81</v>
      </c>
      <c r="W54" s="52">
        <f>W8+W13+W20+W26+W42+W52</f>
        <v>123104837</v>
      </c>
      <c r="AD54" s="52" t="s">
        <v>81</v>
      </c>
      <c r="AE54" s="52">
        <f>AE8+AE13+AE20+AE26+AE42+AE52</f>
        <v>127815337</v>
      </c>
      <c r="AL54" s="52" t="s">
        <v>81</v>
      </c>
      <c r="AM54" s="52">
        <f>AM8+AM13+AM20+AM26+AM42+AM52</f>
        <v>128482004</v>
      </c>
    </row>
    <row r="55" spans="1:39" x14ac:dyDescent="0.45">
      <c r="E55" s="58"/>
      <c r="F55" s="53" t="s">
        <v>82</v>
      </c>
      <c r="G55" s="53">
        <f>G54*11%</f>
        <v>12431888.699999999</v>
      </c>
      <c r="N55" s="53" t="s">
        <v>82</v>
      </c>
      <c r="O55" s="53">
        <f>O54*11%</f>
        <v>13541532.07</v>
      </c>
      <c r="V55" s="53" t="s">
        <v>82</v>
      </c>
      <c r="W55" s="53">
        <f>W54*11%</f>
        <v>13541532.07</v>
      </c>
      <c r="AD55" s="53" t="s">
        <v>82</v>
      </c>
      <c r="AE55" s="53">
        <f>AE54*11%</f>
        <v>14059687.07</v>
      </c>
      <c r="AL55" s="53" t="s">
        <v>82</v>
      </c>
      <c r="AM55" s="53">
        <f>AM54*11%</f>
        <v>14133020.439999999</v>
      </c>
    </row>
    <row r="56" spans="1:39" x14ac:dyDescent="0.45">
      <c r="F56" s="54" t="s">
        <v>83</v>
      </c>
      <c r="G56" s="54">
        <f>G54+G55</f>
        <v>125449058.7</v>
      </c>
      <c r="N56" s="54" t="s">
        <v>83</v>
      </c>
      <c r="O56" s="54">
        <f>O54+O55</f>
        <v>136646369.06999999</v>
      </c>
      <c r="V56" s="54" t="s">
        <v>83</v>
      </c>
      <c r="W56" s="54">
        <f>W54+W55</f>
        <v>136646369.06999999</v>
      </c>
      <c r="AD56" s="54" t="s">
        <v>83</v>
      </c>
      <c r="AE56" s="54">
        <f>AE54+AE55</f>
        <v>141875024.06999999</v>
      </c>
      <c r="AL56" s="54" t="s">
        <v>83</v>
      </c>
      <c r="AM56" s="54">
        <f>AM54+AM55</f>
        <v>142615024.44</v>
      </c>
    </row>
    <row r="57" spans="1:39" s="55" customFormat="1" x14ac:dyDescent="0.45">
      <c r="A57" s="16"/>
      <c r="B57" s="16"/>
      <c r="C57" s="16"/>
      <c r="D57" s="16"/>
      <c r="E57" s="16"/>
    </row>
  </sheetData>
  <mergeCells count="25">
    <mergeCell ref="A1:B1"/>
    <mergeCell ref="A3:D3"/>
    <mergeCell ref="F5:G5"/>
    <mergeCell ref="C6:D6"/>
    <mergeCell ref="A7:D7"/>
    <mergeCell ref="N5:O5"/>
    <mergeCell ref="K6:L6"/>
    <mergeCell ref="I7:L7"/>
    <mergeCell ref="V5:W5"/>
    <mergeCell ref="S6:T6"/>
    <mergeCell ref="Q7:T7"/>
    <mergeCell ref="AD5:AE5"/>
    <mergeCell ref="AA6:AB6"/>
    <mergeCell ref="Y7:AB7"/>
    <mergeCell ref="AL5:AM5"/>
    <mergeCell ref="AI6:AJ6"/>
    <mergeCell ref="AG7:AJ7"/>
    <mergeCell ref="AG1:AH1"/>
    <mergeCell ref="AG3:AJ3"/>
    <mergeCell ref="I1:J1"/>
    <mergeCell ref="I3:L3"/>
    <mergeCell ref="Q1:R1"/>
    <mergeCell ref="Q3:T3"/>
    <mergeCell ref="Y1:Z1"/>
    <mergeCell ref="Y3:AB3"/>
  </mergeCells>
  <pageMargins left="0.35433070866141736" right="0.23622047244094491" top="0.74803149606299213" bottom="0.74803149606299213" header="0.31496062992125984" footer="0.31496062992125984"/>
  <pageSetup paperSize="9" scale="4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055F-E01B-4E2C-ADF7-36500D171437}">
  <dimension ref="A2:K45"/>
  <sheetViews>
    <sheetView zoomScale="81" workbookViewId="0">
      <selection activeCell="A2" sqref="A2:B2"/>
    </sheetView>
  </sheetViews>
  <sheetFormatPr defaultRowHeight="14.25" x14ac:dyDescent="0.45"/>
  <cols>
    <col min="1" max="1" width="3.73046875" bestFit="1" customWidth="1"/>
    <col min="2" max="2" width="46.796875" bestFit="1" customWidth="1"/>
    <col min="3" max="3" width="5.06640625" bestFit="1" customWidth="1"/>
    <col min="4" max="4" width="5.796875" bestFit="1" customWidth="1"/>
    <col min="5" max="5" width="20.796875" customWidth="1"/>
    <col min="6" max="6" width="19.265625" bestFit="1" customWidth="1"/>
    <col min="7" max="7" width="12.265625" bestFit="1" customWidth="1"/>
    <col min="9" max="9" width="13.796875" bestFit="1" customWidth="1"/>
    <col min="10" max="10" width="11.19921875" bestFit="1" customWidth="1"/>
  </cols>
  <sheetData>
    <row r="2" spans="1:7" ht="18" x14ac:dyDescent="0.45">
      <c r="A2" s="103" t="s">
        <v>104</v>
      </c>
      <c r="B2" s="103"/>
      <c r="C2" s="61"/>
      <c r="D2" s="61"/>
      <c r="E2" s="61"/>
      <c r="F2" s="62"/>
      <c r="G2" s="62"/>
    </row>
    <row r="3" spans="1:7" x14ac:dyDescent="0.45">
      <c r="A3" s="17" t="s">
        <v>1</v>
      </c>
      <c r="B3" s="18"/>
      <c r="C3" s="16"/>
      <c r="D3" s="16"/>
      <c r="E3" s="16"/>
      <c r="F3" s="62"/>
      <c r="G3" s="62"/>
    </row>
    <row r="4" spans="1:7" x14ac:dyDescent="0.45">
      <c r="A4" s="102" t="s">
        <v>2</v>
      </c>
      <c r="B4" s="102"/>
      <c r="C4" s="102"/>
      <c r="D4" s="102"/>
      <c r="E4" s="102"/>
      <c r="F4" s="62"/>
      <c r="G4" s="62"/>
    </row>
    <row r="5" spans="1:7" x14ac:dyDescent="0.45">
      <c r="A5" s="19"/>
      <c r="B5" s="19"/>
      <c r="C5" s="19"/>
      <c r="D5" s="19"/>
      <c r="E5" s="19"/>
      <c r="F5" s="62"/>
      <c r="G5" s="62"/>
    </row>
    <row r="6" spans="1:7" ht="16.05" customHeight="1" thickBot="1" x14ac:dyDescent="0.5">
      <c r="A6" s="62"/>
      <c r="B6" s="63"/>
      <c r="C6" s="61"/>
      <c r="D6" s="61"/>
      <c r="E6" s="104" t="s">
        <v>105</v>
      </c>
      <c r="F6" s="104"/>
      <c r="G6" s="105"/>
    </row>
    <row r="7" spans="1:7" x14ac:dyDescent="0.45">
      <c r="A7" s="64" t="s">
        <v>8</v>
      </c>
      <c r="B7" s="65" t="s">
        <v>9</v>
      </c>
      <c r="C7" s="106" t="s">
        <v>10</v>
      </c>
      <c r="D7" s="107"/>
      <c r="E7" s="66" t="s">
        <v>11</v>
      </c>
      <c r="F7" s="67" t="s">
        <v>12</v>
      </c>
      <c r="G7" s="68" t="s">
        <v>13</v>
      </c>
    </row>
    <row r="8" spans="1:7" x14ac:dyDescent="0.45">
      <c r="A8" s="69" t="s">
        <v>14</v>
      </c>
      <c r="B8" s="70" t="s">
        <v>15</v>
      </c>
      <c r="C8" s="69">
        <v>1</v>
      </c>
      <c r="D8" s="69" t="s">
        <v>16</v>
      </c>
      <c r="E8" s="69"/>
      <c r="F8" s="71"/>
      <c r="G8" s="71">
        <f>SUM(G9:G11)</f>
        <v>3624400</v>
      </c>
    </row>
    <row r="9" spans="1:7" x14ac:dyDescent="0.45">
      <c r="A9" s="72">
        <v>1</v>
      </c>
      <c r="B9" s="73" t="s">
        <v>17</v>
      </c>
      <c r="C9" s="72">
        <v>7700</v>
      </c>
      <c r="D9" s="72" t="s">
        <v>18</v>
      </c>
      <c r="E9" s="72"/>
      <c r="F9" s="36">
        <v>86</v>
      </c>
      <c r="G9" s="36">
        <f>C9*F9</f>
        <v>662200</v>
      </c>
    </row>
    <row r="10" spans="1:7" x14ac:dyDescent="0.45">
      <c r="A10" s="72">
        <v>2</v>
      </c>
      <c r="B10" s="73" t="s">
        <v>19</v>
      </c>
      <c r="C10" s="72">
        <v>7700</v>
      </c>
      <c r="D10" s="72" t="s">
        <v>18</v>
      </c>
      <c r="E10" s="72"/>
      <c r="F10" s="36">
        <v>86</v>
      </c>
      <c r="G10" s="36">
        <f>C10*F10</f>
        <v>662200</v>
      </c>
    </row>
    <row r="11" spans="1:7" x14ac:dyDescent="0.45">
      <c r="A11" s="72">
        <v>3</v>
      </c>
      <c r="B11" s="73" t="s">
        <v>20</v>
      </c>
      <c r="C11" s="72">
        <v>1</v>
      </c>
      <c r="D11" s="72" t="s">
        <v>16</v>
      </c>
      <c r="E11" s="72"/>
      <c r="F11" s="36">
        <v>2300000</v>
      </c>
      <c r="G11" s="36">
        <f>C11*F11</f>
        <v>2300000</v>
      </c>
    </row>
    <row r="12" spans="1:7" x14ac:dyDescent="0.45">
      <c r="A12" s="72"/>
      <c r="B12" s="73"/>
      <c r="C12" s="72"/>
      <c r="D12" s="72"/>
      <c r="E12" s="72"/>
      <c r="F12" s="36"/>
      <c r="G12" s="36"/>
    </row>
    <row r="13" spans="1:7" x14ac:dyDescent="0.45">
      <c r="A13" s="74" t="s">
        <v>21</v>
      </c>
      <c r="B13" s="75" t="s">
        <v>106</v>
      </c>
      <c r="C13" s="76">
        <v>1</v>
      </c>
      <c r="D13" s="76" t="s">
        <v>23</v>
      </c>
      <c r="E13" s="76"/>
      <c r="F13" s="33"/>
      <c r="G13" s="29">
        <f>SUM(G14:G15)</f>
        <v>1300000</v>
      </c>
    </row>
    <row r="14" spans="1:7" x14ac:dyDescent="0.45">
      <c r="A14" s="72">
        <v>1</v>
      </c>
      <c r="B14" s="77" t="s">
        <v>107</v>
      </c>
      <c r="C14" s="78">
        <v>1</v>
      </c>
      <c r="D14" s="78" t="s">
        <v>58</v>
      </c>
      <c r="E14" s="78" t="s">
        <v>25</v>
      </c>
      <c r="F14" s="36">
        <v>300000</v>
      </c>
      <c r="G14" s="36">
        <f>C14*F14</f>
        <v>300000</v>
      </c>
    </row>
    <row r="15" spans="1:7" x14ac:dyDescent="0.45">
      <c r="A15" s="72">
        <v>2</v>
      </c>
      <c r="B15" s="73" t="s">
        <v>108</v>
      </c>
      <c r="C15" s="78">
        <v>1</v>
      </c>
      <c r="D15" s="78" t="s">
        <v>23</v>
      </c>
      <c r="E15" s="78" t="s">
        <v>25</v>
      </c>
      <c r="F15" s="36">
        <v>1000000</v>
      </c>
      <c r="G15" s="36">
        <f>C15*F15</f>
        <v>1000000</v>
      </c>
    </row>
    <row r="16" spans="1:7" x14ac:dyDescent="0.45">
      <c r="A16" s="79"/>
      <c r="B16" s="80"/>
      <c r="C16" s="78"/>
      <c r="D16" s="78"/>
      <c r="E16" s="78"/>
      <c r="F16" s="31"/>
      <c r="G16" s="31"/>
    </row>
    <row r="17" spans="1:7" x14ac:dyDescent="0.45">
      <c r="A17" s="74" t="s">
        <v>31</v>
      </c>
      <c r="B17" s="75" t="s">
        <v>43</v>
      </c>
      <c r="C17" s="76"/>
      <c r="D17" s="76"/>
      <c r="E17" s="76"/>
      <c r="F17" s="33"/>
      <c r="G17" s="29">
        <f>SUM(G18:G30)</f>
        <v>1657000</v>
      </c>
    </row>
    <row r="18" spans="1:7" x14ac:dyDescent="0.45">
      <c r="A18" s="72">
        <v>1</v>
      </c>
      <c r="B18" s="81" t="s">
        <v>109</v>
      </c>
      <c r="C18" s="78">
        <v>1</v>
      </c>
      <c r="D18" s="78" t="s">
        <v>23</v>
      </c>
      <c r="E18" s="78" t="s">
        <v>45</v>
      </c>
      <c r="F18" s="36">
        <v>912600</v>
      </c>
      <c r="G18" s="36">
        <f t="shared" ref="G18:G30" si="0">C18*F18</f>
        <v>912600</v>
      </c>
    </row>
    <row r="19" spans="1:7" x14ac:dyDescent="0.45">
      <c r="A19" s="82">
        <v>2</v>
      </c>
      <c r="B19" s="81" t="s">
        <v>46</v>
      </c>
      <c r="C19" s="78">
        <v>1</v>
      </c>
      <c r="D19" s="78" t="s">
        <v>23</v>
      </c>
      <c r="E19" s="78" t="s">
        <v>25</v>
      </c>
      <c r="F19" s="36">
        <v>31300</v>
      </c>
      <c r="G19" s="36">
        <f t="shared" si="0"/>
        <v>31300</v>
      </c>
    </row>
    <row r="20" spans="1:7" x14ac:dyDescent="0.45">
      <c r="A20" s="72">
        <v>3</v>
      </c>
      <c r="B20" s="83" t="s">
        <v>110</v>
      </c>
      <c r="C20" s="78">
        <v>1</v>
      </c>
      <c r="D20" s="78" t="s">
        <v>23</v>
      </c>
      <c r="E20" s="78" t="s">
        <v>48</v>
      </c>
      <c r="F20" s="36">
        <v>211300</v>
      </c>
      <c r="G20" s="36">
        <f t="shared" si="0"/>
        <v>211300</v>
      </c>
    </row>
    <row r="21" spans="1:7" x14ac:dyDescent="0.45">
      <c r="A21" s="82">
        <v>4</v>
      </c>
      <c r="B21" s="83" t="s">
        <v>49</v>
      </c>
      <c r="C21" s="78">
        <v>2</v>
      </c>
      <c r="D21" s="78" t="s">
        <v>23</v>
      </c>
      <c r="E21" s="78" t="s">
        <v>25</v>
      </c>
      <c r="F21" s="36">
        <v>14400</v>
      </c>
      <c r="G21" s="36">
        <f t="shared" si="0"/>
        <v>28800</v>
      </c>
    </row>
    <row r="22" spans="1:7" x14ac:dyDescent="0.45">
      <c r="A22" s="72">
        <v>5</v>
      </c>
      <c r="B22" s="83" t="s">
        <v>50</v>
      </c>
      <c r="C22" s="78">
        <v>1</v>
      </c>
      <c r="D22" s="78" t="s">
        <v>51</v>
      </c>
      <c r="E22" s="78" t="s">
        <v>25</v>
      </c>
      <c r="F22" s="36">
        <v>5900</v>
      </c>
      <c r="G22" s="36">
        <f t="shared" si="0"/>
        <v>5900</v>
      </c>
    </row>
    <row r="23" spans="1:7" x14ac:dyDescent="0.45">
      <c r="A23" s="82">
        <v>6</v>
      </c>
      <c r="B23" s="83" t="s">
        <v>111</v>
      </c>
      <c r="C23" s="78">
        <v>1</v>
      </c>
      <c r="D23" s="78" t="s">
        <v>23</v>
      </c>
      <c r="E23" s="78" t="s">
        <v>25</v>
      </c>
      <c r="F23" s="36">
        <v>84500</v>
      </c>
      <c r="G23" s="36">
        <f t="shared" si="0"/>
        <v>84500</v>
      </c>
    </row>
    <row r="24" spans="1:7" x14ac:dyDescent="0.45">
      <c r="A24" s="72">
        <v>7</v>
      </c>
      <c r="B24" s="83" t="s">
        <v>112</v>
      </c>
      <c r="C24" s="78">
        <v>1</v>
      </c>
      <c r="D24" s="78" t="s">
        <v>23</v>
      </c>
      <c r="E24" s="78" t="s">
        <v>25</v>
      </c>
      <c r="F24" s="36">
        <v>45600</v>
      </c>
      <c r="G24" s="36">
        <f t="shared" si="0"/>
        <v>45600</v>
      </c>
    </row>
    <row r="25" spans="1:7" x14ac:dyDescent="0.45">
      <c r="A25" s="82">
        <v>8</v>
      </c>
      <c r="B25" s="83" t="s">
        <v>54</v>
      </c>
      <c r="C25" s="78">
        <v>1</v>
      </c>
      <c r="D25" s="78" t="s">
        <v>51</v>
      </c>
      <c r="E25" s="78" t="s">
        <v>25</v>
      </c>
      <c r="F25" s="36">
        <v>43900</v>
      </c>
      <c r="G25" s="36">
        <f t="shared" si="0"/>
        <v>43900</v>
      </c>
    </row>
    <row r="26" spans="1:7" x14ac:dyDescent="0.45">
      <c r="A26" s="72">
        <v>9</v>
      </c>
      <c r="B26" s="83" t="s">
        <v>55</v>
      </c>
      <c r="C26" s="78">
        <v>1</v>
      </c>
      <c r="D26" s="78" t="s">
        <v>23</v>
      </c>
      <c r="E26" s="78" t="s">
        <v>25</v>
      </c>
      <c r="F26" s="36">
        <v>6800</v>
      </c>
      <c r="G26" s="36">
        <f t="shared" si="0"/>
        <v>6800</v>
      </c>
    </row>
    <row r="27" spans="1:7" x14ac:dyDescent="0.45">
      <c r="A27" s="82">
        <v>10</v>
      </c>
      <c r="B27" s="83" t="s">
        <v>56</v>
      </c>
      <c r="C27" s="78">
        <v>1</v>
      </c>
      <c r="D27" s="78" t="s">
        <v>51</v>
      </c>
      <c r="E27" s="78" t="s">
        <v>25</v>
      </c>
      <c r="F27" s="36">
        <v>20300</v>
      </c>
      <c r="G27" s="36">
        <f t="shared" si="0"/>
        <v>20300</v>
      </c>
    </row>
    <row r="28" spans="1:7" x14ac:dyDescent="0.45">
      <c r="A28" s="72">
        <v>11</v>
      </c>
      <c r="B28" s="83" t="s">
        <v>113</v>
      </c>
      <c r="C28" s="78">
        <v>1</v>
      </c>
      <c r="D28" s="78" t="s">
        <v>23</v>
      </c>
      <c r="E28" s="78" t="s">
        <v>48</v>
      </c>
      <c r="F28" s="36">
        <v>16900</v>
      </c>
      <c r="G28" s="36">
        <f t="shared" si="0"/>
        <v>16900</v>
      </c>
    </row>
    <row r="29" spans="1:7" x14ac:dyDescent="0.45">
      <c r="A29" s="82">
        <v>12</v>
      </c>
      <c r="B29" s="83" t="s">
        <v>114</v>
      </c>
      <c r="C29" s="78">
        <v>2</v>
      </c>
      <c r="D29" s="78" t="s">
        <v>23</v>
      </c>
      <c r="E29" s="78" t="s">
        <v>48</v>
      </c>
      <c r="F29" s="36">
        <v>20300</v>
      </c>
      <c r="G29" s="36">
        <f t="shared" si="0"/>
        <v>40600</v>
      </c>
    </row>
    <row r="30" spans="1:7" x14ac:dyDescent="0.45">
      <c r="A30" s="72">
        <v>13</v>
      </c>
      <c r="B30" s="83" t="s">
        <v>61</v>
      </c>
      <c r="C30" s="78">
        <v>1</v>
      </c>
      <c r="D30" s="78" t="s">
        <v>23</v>
      </c>
      <c r="E30" s="78" t="s">
        <v>25</v>
      </c>
      <c r="F30" s="36">
        <v>208500</v>
      </c>
      <c r="G30" s="36">
        <f t="shared" si="0"/>
        <v>208500</v>
      </c>
    </row>
    <row r="31" spans="1:7" x14ac:dyDescent="0.45">
      <c r="A31" s="82"/>
      <c r="B31" s="84"/>
      <c r="C31" s="78"/>
      <c r="D31" s="78"/>
      <c r="E31" s="78"/>
      <c r="F31" s="36"/>
      <c r="G31" s="31"/>
    </row>
    <row r="32" spans="1:7" x14ac:dyDescent="0.45">
      <c r="A32" s="74" t="s">
        <v>42</v>
      </c>
      <c r="B32" s="85" t="s">
        <v>63</v>
      </c>
      <c r="C32" s="76"/>
      <c r="D32" s="76"/>
      <c r="E32" s="76"/>
      <c r="F32" s="33"/>
      <c r="G32" s="29">
        <f>SUM(G33:G39)</f>
        <v>5043000</v>
      </c>
    </row>
    <row r="33" spans="1:11" ht="26.25" x14ac:dyDescent="0.45">
      <c r="A33" s="72">
        <v>1</v>
      </c>
      <c r="B33" s="81" t="s">
        <v>115</v>
      </c>
      <c r="C33" s="78">
        <v>15</v>
      </c>
      <c r="D33" s="78" t="s">
        <v>116</v>
      </c>
      <c r="E33" s="86" t="s">
        <v>66</v>
      </c>
      <c r="F33" s="36">
        <v>170000</v>
      </c>
      <c r="G33" s="36">
        <f t="shared" ref="G33:G39" si="1">C33*F33</f>
        <v>2550000</v>
      </c>
    </row>
    <row r="34" spans="1:11" ht="26.25" x14ac:dyDescent="0.45">
      <c r="A34" s="72">
        <v>2</v>
      </c>
      <c r="B34" s="81" t="s">
        <v>117</v>
      </c>
      <c r="C34" s="78">
        <v>5</v>
      </c>
      <c r="D34" s="78" t="s">
        <v>116</v>
      </c>
      <c r="E34" s="86" t="s">
        <v>66</v>
      </c>
      <c r="F34" s="36">
        <v>50000</v>
      </c>
      <c r="G34" s="36">
        <f t="shared" si="1"/>
        <v>250000</v>
      </c>
    </row>
    <row r="35" spans="1:11" ht="26.25" x14ac:dyDescent="0.45">
      <c r="A35" s="72">
        <v>3</v>
      </c>
      <c r="B35" s="81" t="s">
        <v>118</v>
      </c>
      <c r="C35" s="78">
        <v>15</v>
      </c>
      <c r="D35" s="78" t="s">
        <v>116</v>
      </c>
      <c r="E35" s="86" t="s">
        <v>66</v>
      </c>
      <c r="F35" s="36">
        <v>25000</v>
      </c>
      <c r="G35" s="36">
        <f t="shared" si="1"/>
        <v>375000</v>
      </c>
    </row>
    <row r="36" spans="1:11" x14ac:dyDescent="0.45">
      <c r="A36" s="72">
        <v>4</v>
      </c>
      <c r="B36" s="81" t="s">
        <v>119</v>
      </c>
      <c r="C36" s="78">
        <v>8</v>
      </c>
      <c r="D36" s="78" t="s">
        <v>23</v>
      </c>
      <c r="E36" s="78" t="s">
        <v>25</v>
      </c>
      <c r="F36" s="36">
        <v>12000</v>
      </c>
      <c r="G36" s="36">
        <f t="shared" si="1"/>
        <v>96000</v>
      </c>
    </row>
    <row r="37" spans="1:11" x14ac:dyDescent="0.45">
      <c r="A37" s="72">
        <v>5</v>
      </c>
      <c r="B37" s="81" t="s">
        <v>120</v>
      </c>
      <c r="C37" s="78">
        <v>6</v>
      </c>
      <c r="D37" s="78" t="s">
        <v>23</v>
      </c>
      <c r="E37" s="78" t="s">
        <v>71</v>
      </c>
      <c r="F37" s="36">
        <v>12000</v>
      </c>
      <c r="G37" s="36">
        <f t="shared" si="1"/>
        <v>72000</v>
      </c>
    </row>
    <row r="38" spans="1:11" x14ac:dyDescent="0.45">
      <c r="A38" s="72">
        <v>6</v>
      </c>
      <c r="B38" s="81" t="s">
        <v>74</v>
      </c>
      <c r="C38" s="78">
        <v>15</v>
      </c>
      <c r="D38" s="78" t="s">
        <v>116</v>
      </c>
      <c r="E38" s="78" t="s">
        <v>71</v>
      </c>
      <c r="F38" s="36">
        <v>30000</v>
      </c>
      <c r="G38" s="36">
        <f t="shared" si="1"/>
        <v>450000</v>
      </c>
    </row>
    <row r="39" spans="1:11" x14ac:dyDescent="0.45">
      <c r="A39" s="72">
        <v>7</v>
      </c>
      <c r="B39" s="81" t="s">
        <v>121</v>
      </c>
      <c r="C39" s="78">
        <v>1</v>
      </c>
      <c r="D39" s="78" t="s">
        <v>58</v>
      </c>
      <c r="E39" s="78" t="s">
        <v>25</v>
      </c>
      <c r="F39" s="36">
        <v>1250000</v>
      </c>
      <c r="G39" s="36">
        <f t="shared" si="1"/>
        <v>1250000</v>
      </c>
    </row>
    <row r="40" spans="1:11" x14ac:dyDescent="0.45">
      <c r="A40" s="62"/>
      <c r="B40" s="87"/>
      <c r="C40" s="88"/>
      <c r="D40" s="88"/>
      <c r="E40" s="88"/>
      <c r="F40" s="43"/>
      <c r="G40" s="44"/>
    </row>
    <row r="41" spans="1:11" x14ac:dyDescent="0.45">
      <c r="A41" s="89" t="s">
        <v>62</v>
      </c>
      <c r="B41" s="90" t="s">
        <v>76</v>
      </c>
      <c r="C41" s="91">
        <v>1</v>
      </c>
      <c r="D41" s="91" t="s">
        <v>16</v>
      </c>
      <c r="E41" s="91"/>
      <c r="F41" s="48">
        <v>500000</v>
      </c>
      <c r="G41" s="48">
        <f>C41*F41</f>
        <v>500000</v>
      </c>
    </row>
    <row r="42" spans="1:11" x14ac:dyDescent="0.45">
      <c r="A42" s="92"/>
      <c r="B42" s="93"/>
      <c r="C42" s="78"/>
      <c r="D42" s="78"/>
      <c r="E42" s="78"/>
      <c r="F42" s="36"/>
      <c r="G42" s="36"/>
    </row>
    <row r="43" spans="1:11" x14ac:dyDescent="0.45">
      <c r="A43" s="62"/>
      <c r="B43" s="62"/>
      <c r="C43" s="61"/>
      <c r="D43" s="61"/>
      <c r="E43" s="61"/>
      <c r="F43" s="52" t="s">
        <v>81</v>
      </c>
      <c r="G43" s="94">
        <f>G8+G13+G17+G32+G41</f>
        <v>12124400</v>
      </c>
      <c r="I43" s="59"/>
      <c r="J43" s="59"/>
    </row>
    <row r="44" spans="1:11" x14ac:dyDescent="0.45">
      <c r="A44" s="62"/>
      <c r="B44" s="62"/>
      <c r="C44" s="61"/>
      <c r="D44" s="61"/>
      <c r="E44" s="61"/>
      <c r="F44" s="53" t="s">
        <v>82</v>
      </c>
      <c r="G44" s="53">
        <f>G43*11%</f>
        <v>1333684</v>
      </c>
      <c r="I44" s="59"/>
      <c r="J44" s="59"/>
    </row>
    <row r="45" spans="1:11" x14ac:dyDescent="0.45">
      <c r="A45" s="62"/>
      <c r="B45" s="62"/>
      <c r="C45" s="61"/>
      <c r="D45" s="61"/>
      <c r="E45" s="61"/>
      <c r="F45" s="54" t="s">
        <v>83</v>
      </c>
      <c r="G45" s="54">
        <f>G43+G44</f>
        <v>13458084</v>
      </c>
      <c r="I45" s="95"/>
      <c r="J45" s="95"/>
      <c r="K45" s="60"/>
    </row>
  </sheetData>
  <mergeCells count="4">
    <mergeCell ref="A2:B2"/>
    <mergeCell ref="A4:E4"/>
    <mergeCell ref="E6:G6"/>
    <mergeCell ref="C7:D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F4AF3-844A-42D3-85AA-7311800D364C}">
  <dimension ref="A1:G44"/>
  <sheetViews>
    <sheetView workbookViewId="0">
      <selection activeCell="A3" sqref="A3:G5"/>
    </sheetView>
  </sheetViews>
  <sheetFormatPr defaultRowHeight="14.25" x14ac:dyDescent="0.45"/>
  <cols>
    <col min="1" max="1" width="10.06640625" bestFit="1" customWidth="1"/>
    <col min="2" max="2" width="46.796875" bestFit="1" customWidth="1"/>
    <col min="3" max="3" width="6.53125" bestFit="1" customWidth="1"/>
    <col min="4" max="4" width="5.796875" bestFit="1" customWidth="1"/>
    <col min="5" max="5" width="12.33203125" bestFit="1" customWidth="1"/>
    <col min="6" max="6" width="19.265625" bestFit="1" customWidth="1"/>
    <col min="7" max="7" width="13" bestFit="1" customWidth="1"/>
  </cols>
  <sheetData>
    <row r="1" spans="1:7" ht="18" x14ac:dyDescent="0.45">
      <c r="A1" s="103" t="s">
        <v>122</v>
      </c>
      <c r="B1" s="103"/>
      <c r="C1" s="61"/>
      <c r="D1" s="61"/>
      <c r="E1" s="61"/>
      <c r="F1" s="62"/>
      <c r="G1" s="62"/>
    </row>
    <row r="2" spans="1:7" x14ac:dyDescent="0.45">
      <c r="A2" s="17" t="s">
        <v>1</v>
      </c>
      <c r="B2" s="18"/>
      <c r="C2" s="16"/>
      <c r="D2" s="16"/>
      <c r="E2" s="16"/>
      <c r="F2" s="62"/>
      <c r="G2" s="62"/>
    </row>
    <row r="3" spans="1:7" x14ac:dyDescent="0.45">
      <c r="A3" s="102" t="s">
        <v>2</v>
      </c>
      <c r="B3" s="102"/>
      <c r="C3" s="102"/>
      <c r="D3" s="102"/>
      <c r="E3" s="102"/>
      <c r="F3" s="62"/>
      <c r="G3" s="62"/>
    </row>
    <row r="4" spans="1:7" x14ac:dyDescent="0.45">
      <c r="A4" s="19"/>
      <c r="B4" s="19"/>
      <c r="C4" s="19"/>
      <c r="D4" s="19"/>
      <c r="E4" s="19"/>
      <c r="F4" s="62"/>
      <c r="G4" s="62"/>
    </row>
    <row r="5" spans="1:7" ht="16.149999999999999" thickBot="1" x14ac:dyDescent="0.5">
      <c r="A5" s="62"/>
      <c r="B5" s="63"/>
      <c r="C5" s="61"/>
      <c r="D5" s="61"/>
      <c r="E5" s="104" t="s">
        <v>123</v>
      </c>
      <c r="F5" s="104"/>
      <c r="G5" s="105"/>
    </row>
    <row r="6" spans="1:7" x14ac:dyDescent="0.45">
      <c r="A6" s="64" t="s">
        <v>8</v>
      </c>
      <c r="B6" s="65" t="s">
        <v>9</v>
      </c>
      <c r="C6" s="106" t="s">
        <v>10</v>
      </c>
      <c r="D6" s="107"/>
      <c r="E6" s="66" t="s">
        <v>11</v>
      </c>
      <c r="F6" s="67" t="s">
        <v>12</v>
      </c>
      <c r="G6" s="68" t="s">
        <v>13</v>
      </c>
    </row>
    <row r="7" spans="1:7" x14ac:dyDescent="0.45">
      <c r="A7" s="69" t="s">
        <v>14</v>
      </c>
      <c r="B7" s="70" t="s">
        <v>15</v>
      </c>
      <c r="C7" s="69">
        <v>1</v>
      </c>
      <c r="D7" s="69" t="s">
        <v>16</v>
      </c>
      <c r="E7" s="69"/>
      <c r="F7" s="71"/>
      <c r="G7" s="71">
        <f>SUM(G8:G10)</f>
        <v>3906000</v>
      </c>
    </row>
    <row r="8" spans="1:7" x14ac:dyDescent="0.45">
      <c r="A8" s="72">
        <v>1</v>
      </c>
      <c r="B8" s="73" t="s">
        <v>17</v>
      </c>
      <c r="C8" s="72">
        <v>11000</v>
      </c>
      <c r="D8" s="72" t="s">
        <v>18</v>
      </c>
      <c r="E8" s="72"/>
      <c r="F8" s="36">
        <v>73</v>
      </c>
      <c r="G8" s="36">
        <f>C8*F8</f>
        <v>803000</v>
      </c>
    </row>
    <row r="9" spans="1:7" x14ac:dyDescent="0.45">
      <c r="A9" s="72">
        <v>2</v>
      </c>
      <c r="B9" s="73" t="s">
        <v>19</v>
      </c>
      <c r="C9" s="72">
        <v>11000</v>
      </c>
      <c r="D9" s="72" t="s">
        <v>18</v>
      </c>
      <c r="E9" s="72"/>
      <c r="F9" s="36">
        <v>73</v>
      </c>
      <c r="G9" s="36">
        <f>C9*F9</f>
        <v>803000</v>
      </c>
    </row>
    <row r="10" spans="1:7" x14ac:dyDescent="0.45">
      <c r="A10" s="72">
        <v>3</v>
      </c>
      <c r="B10" s="73" t="s">
        <v>20</v>
      </c>
      <c r="C10" s="72">
        <v>1</v>
      </c>
      <c r="D10" s="72" t="s">
        <v>16</v>
      </c>
      <c r="E10" s="72"/>
      <c r="F10" s="36">
        <v>2300000</v>
      </c>
      <c r="G10" s="36">
        <f>C10*F10</f>
        <v>2300000</v>
      </c>
    </row>
    <row r="11" spans="1:7" x14ac:dyDescent="0.45">
      <c r="A11" s="72"/>
      <c r="B11" s="73"/>
      <c r="C11" s="72"/>
      <c r="D11" s="72"/>
      <c r="E11" s="72"/>
      <c r="F11" s="36"/>
      <c r="G11" s="36"/>
    </row>
    <row r="12" spans="1:7" x14ac:dyDescent="0.45">
      <c r="A12" s="74" t="s">
        <v>21</v>
      </c>
      <c r="B12" s="75" t="s">
        <v>106</v>
      </c>
      <c r="C12" s="76">
        <v>1</v>
      </c>
      <c r="D12" s="76" t="s">
        <v>23</v>
      </c>
      <c r="E12" s="76"/>
      <c r="F12" s="33"/>
      <c r="G12" s="29">
        <f>SUM(G13:G14)</f>
        <v>1300000</v>
      </c>
    </row>
    <row r="13" spans="1:7" x14ac:dyDescent="0.45">
      <c r="A13" s="72">
        <v>1</v>
      </c>
      <c r="B13" s="77" t="s">
        <v>107</v>
      </c>
      <c r="C13" s="78">
        <v>1</v>
      </c>
      <c r="D13" s="78" t="s">
        <v>58</v>
      </c>
      <c r="E13" s="78" t="s">
        <v>25</v>
      </c>
      <c r="F13" s="36">
        <v>300000</v>
      </c>
      <c r="G13" s="36">
        <f>C13*F13</f>
        <v>300000</v>
      </c>
    </row>
    <row r="14" spans="1:7" x14ac:dyDescent="0.45">
      <c r="A14" s="72">
        <v>2</v>
      </c>
      <c r="B14" s="73" t="s">
        <v>108</v>
      </c>
      <c r="C14" s="78">
        <v>1</v>
      </c>
      <c r="D14" s="78" t="s">
        <v>23</v>
      </c>
      <c r="E14" s="78" t="s">
        <v>25</v>
      </c>
      <c r="F14" s="36">
        <v>1000000</v>
      </c>
      <c r="G14" s="36">
        <f>C14*F14</f>
        <v>1000000</v>
      </c>
    </row>
    <row r="15" spans="1:7" x14ac:dyDescent="0.45">
      <c r="A15" s="79"/>
      <c r="B15" s="80"/>
      <c r="C15" s="78"/>
      <c r="D15" s="78"/>
      <c r="E15" s="78"/>
      <c r="F15" s="31"/>
      <c r="G15" s="31"/>
    </row>
    <row r="16" spans="1:7" x14ac:dyDescent="0.45">
      <c r="A16" s="74" t="s">
        <v>31</v>
      </c>
      <c r="B16" s="75" t="s">
        <v>43</v>
      </c>
      <c r="C16" s="76"/>
      <c r="D16" s="76"/>
      <c r="E16" s="76"/>
      <c r="F16" s="33"/>
      <c r="G16" s="29">
        <f>SUM(G17:G29)</f>
        <v>1818500</v>
      </c>
    </row>
    <row r="17" spans="1:7" x14ac:dyDescent="0.45">
      <c r="A17" s="72">
        <v>1</v>
      </c>
      <c r="B17" s="81" t="s">
        <v>109</v>
      </c>
      <c r="C17" s="78">
        <v>1</v>
      </c>
      <c r="D17" s="78" t="s">
        <v>23</v>
      </c>
      <c r="E17" s="78" t="s">
        <v>45</v>
      </c>
      <c r="F17" s="36">
        <v>912600</v>
      </c>
      <c r="G17" s="36">
        <f t="shared" ref="G17:G29" si="0">C17*F17</f>
        <v>912600</v>
      </c>
    </row>
    <row r="18" spans="1:7" x14ac:dyDescent="0.45">
      <c r="A18" s="82">
        <v>2</v>
      </c>
      <c r="B18" s="81" t="s">
        <v>46</v>
      </c>
      <c r="C18" s="78">
        <v>1</v>
      </c>
      <c r="D18" s="78" t="s">
        <v>23</v>
      </c>
      <c r="E18" s="78" t="s">
        <v>25</v>
      </c>
      <c r="F18" s="36">
        <v>31300</v>
      </c>
      <c r="G18" s="36">
        <f t="shared" si="0"/>
        <v>31300</v>
      </c>
    </row>
    <row r="19" spans="1:7" x14ac:dyDescent="0.45">
      <c r="A19" s="72">
        <v>3</v>
      </c>
      <c r="B19" s="83" t="s">
        <v>124</v>
      </c>
      <c r="C19" s="78">
        <v>1</v>
      </c>
      <c r="D19" s="78" t="s">
        <v>23</v>
      </c>
      <c r="E19" s="78" t="s">
        <v>48</v>
      </c>
      <c r="F19" s="36">
        <v>373000</v>
      </c>
      <c r="G19" s="36">
        <f t="shared" si="0"/>
        <v>373000</v>
      </c>
    </row>
    <row r="20" spans="1:7" x14ac:dyDescent="0.45">
      <c r="A20" s="82">
        <v>4</v>
      </c>
      <c r="B20" s="83" t="s">
        <v>49</v>
      </c>
      <c r="C20" s="78">
        <v>2</v>
      </c>
      <c r="D20" s="78" t="s">
        <v>23</v>
      </c>
      <c r="E20" s="78" t="s">
        <v>25</v>
      </c>
      <c r="F20" s="36">
        <v>14300</v>
      </c>
      <c r="G20" s="36">
        <f t="shared" si="0"/>
        <v>28600</v>
      </c>
    </row>
    <row r="21" spans="1:7" x14ac:dyDescent="0.45">
      <c r="A21" s="72">
        <v>5</v>
      </c>
      <c r="B21" s="83" t="s">
        <v>50</v>
      </c>
      <c r="C21" s="78">
        <v>1</v>
      </c>
      <c r="D21" s="78" t="s">
        <v>51</v>
      </c>
      <c r="E21" s="78" t="s">
        <v>25</v>
      </c>
      <c r="F21" s="36">
        <v>5900</v>
      </c>
      <c r="G21" s="36">
        <f t="shared" si="0"/>
        <v>5900</v>
      </c>
    </row>
    <row r="22" spans="1:7" x14ac:dyDescent="0.45">
      <c r="A22" s="82">
        <v>6</v>
      </c>
      <c r="B22" s="83" t="s">
        <v>111</v>
      </c>
      <c r="C22" s="78">
        <v>1</v>
      </c>
      <c r="D22" s="78" t="s">
        <v>23</v>
      </c>
      <c r="E22" s="78" t="s">
        <v>25</v>
      </c>
      <c r="F22" s="36">
        <v>84500</v>
      </c>
      <c r="G22" s="36">
        <f t="shared" si="0"/>
        <v>84500</v>
      </c>
    </row>
    <row r="23" spans="1:7" x14ac:dyDescent="0.45">
      <c r="A23" s="72">
        <v>7</v>
      </c>
      <c r="B23" s="83" t="s">
        <v>112</v>
      </c>
      <c r="C23" s="78">
        <v>1</v>
      </c>
      <c r="D23" s="78" t="s">
        <v>23</v>
      </c>
      <c r="E23" s="78" t="s">
        <v>25</v>
      </c>
      <c r="F23" s="36">
        <v>45600</v>
      </c>
      <c r="G23" s="36">
        <f t="shared" si="0"/>
        <v>45600</v>
      </c>
    </row>
    <row r="24" spans="1:7" x14ac:dyDescent="0.45">
      <c r="A24" s="82">
        <v>8</v>
      </c>
      <c r="B24" s="83" t="s">
        <v>54</v>
      </c>
      <c r="C24" s="78">
        <v>1</v>
      </c>
      <c r="D24" s="78" t="s">
        <v>51</v>
      </c>
      <c r="E24" s="78" t="s">
        <v>25</v>
      </c>
      <c r="F24" s="36">
        <v>43900</v>
      </c>
      <c r="G24" s="36">
        <f t="shared" si="0"/>
        <v>43900</v>
      </c>
    </row>
    <row r="25" spans="1:7" x14ac:dyDescent="0.45">
      <c r="A25" s="72">
        <v>9</v>
      </c>
      <c r="B25" s="83" t="s">
        <v>55</v>
      </c>
      <c r="C25" s="78">
        <v>1</v>
      </c>
      <c r="D25" s="78" t="s">
        <v>23</v>
      </c>
      <c r="E25" s="78" t="s">
        <v>25</v>
      </c>
      <c r="F25" s="36">
        <v>6800</v>
      </c>
      <c r="G25" s="36">
        <f t="shared" si="0"/>
        <v>6800</v>
      </c>
    </row>
    <row r="26" spans="1:7" x14ac:dyDescent="0.45">
      <c r="A26" s="82">
        <v>10</v>
      </c>
      <c r="B26" s="83" t="s">
        <v>56</v>
      </c>
      <c r="C26" s="78">
        <v>1</v>
      </c>
      <c r="D26" s="78" t="s">
        <v>51</v>
      </c>
      <c r="E26" s="78" t="s">
        <v>25</v>
      </c>
      <c r="F26" s="36">
        <v>20300</v>
      </c>
      <c r="G26" s="36">
        <f t="shared" si="0"/>
        <v>20300</v>
      </c>
    </row>
    <row r="27" spans="1:7" x14ac:dyDescent="0.45">
      <c r="A27" s="72">
        <v>11</v>
      </c>
      <c r="B27" s="83" t="s">
        <v>113</v>
      </c>
      <c r="C27" s="78">
        <v>1</v>
      </c>
      <c r="D27" s="78" t="s">
        <v>23</v>
      </c>
      <c r="E27" s="78" t="s">
        <v>48</v>
      </c>
      <c r="F27" s="36">
        <v>16900</v>
      </c>
      <c r="G27" s="36">
        <f t="shared" si="0"/>
        <v>16900</v>
      </c>
    </row>
    <row r="28" spans="1:7" x14ac:dyDescent="0.45">
      <c r="A28" s="82">
        <v>12</v>
      </c>
      <c r="B28" s="83" t="s">
        <v>114</v>
      </c>
      <c r="C28" s="78">
        <v>2</v>
      </c>
      <c r="D28" s="78" t="s">
        <v>23</v>
      </c>
      <c r="E28" s="78" t="s">
        <v>48</v>
      </c>
      <c r="F28" s="36">
        <v>20300</v>
      </c>
      <c r="G28" s="36">
        <f t="shared" si="0"/>
        <v>40600</v>
      </c>
    </row>
    <row r="29" spans="1:7" x14ac:dyDescent="0.45">
      <c r="A29" s="72">
        <v>13</v>
      </c>
      <c r="B29" s="83" t="s">
        <v>61</v>
      </c>
      <c r="C29" s="78">
        <v>1</v>
      </c>
      <c r="D29" s="78" t="s">
        <v>23</v>
      </c>
      <c r="E29" s="78" t="s">
        <v>25</v>
      </c>
      <c r="F29" s="36">
        <v>208500</v>
      </c>
      <c r="G29" s="36">
        <f t="shared" si="0"/>
        <v>208500</v>
      </c>
    </row>
    <row r="30" spans="1:7" x14ac:dyDescent="0.45">
      <c r="A30" s="82"/>
      <c r="B30" s="84"/>
      <c r="C30" s="78"/>
      <c r="D30" s="78"/>
      <c r="E30" s="78"/>
      <c r="F30" s="36"/>
      <c r="G30" s="31"/>
    </row>
    <row r="31" spans="1:7" x14ac:dyDescent="0.45">
      <c r="A31" s="74" t="s">
        <v>42</v>
      </c>
      <c r="B31" s="85" t="s">
        <v>63</v>
      </c>
      <c r="C31" s="76"/>
      <c r="D31" s="76"/>
      <c r="E31" s="76"/>
      <c r="F31" s="33"/>
      <c r="G31" s="29">
        <f>SUM(G32:G38)</f>
        <v>5475500</v>
      </c>
    </row>
    <row r="32" spans="1:7" ht="39.4" x14ac:dyDescent="0.45">
      <c r="A32" s="72">
        <v>1</v>
      </c>
      <c r="B32" s="81" t="s">
        <v>125</v>
      </c>
      <c r="C32" s="78">
        <v>15</v>
      </c>
      <c r="D32" s="78" t="s">
        <v>116</v>
      </c>
      <c r="E32" s="86" t="s">
        <v>66</v>
      </c>
      <c r="F32" s="36">
        <v>195000</v>
      </c>
      <c r="G32" s="36">
        <f t="shared" ref="G32:G38" si="1">C32*F32</f>
        <v>2925000</v>
      </c>
    </row>
    <row r="33" spans="1:7" ht="39.4" x14ac:dyDescent="0.45">
      <c r="A33" s="72">
        <v>2</v>
      </c>
      <c r="B33" s="81" t="s">
        <v>126</v>
      </c>
      <c r="C33" s="78">
        <v>5</v>
      </c>
      <c r="D33" s="78" t="s">
        <v>116</v>
      </c>
      <c r="E33" s="86" t="s">
        <v>66</v>
      </c>
      <c r="F33" s="36">
        <v>61500</v>
      </c>
      <c r="G33" s="36">
        <f t="shared" si="1"/>
        <v>307500</v>
      </c>
    </row>
    <row r="34" spans="1:7" ht="39.4" x14ac:dyDescent="0.45">
      <c r="A34" s="72">
        <v>3</v>
      </c>
      <c r="B34" s="81" t="s">
        <v>118</v>
      </c>
      <c r="C34" s="78">
        <v>15</v>
      </c>
      <c r="D34" s="78" t="s">
        <v>116</v>
      </c>
      <c r="E34" s="86" t="s">
        <v>66</v>
      </c>
      <c r="F34" s="36">
        <v>25000</v>
      </c>
      <c r="G34" s="36">
        <f t="shared" si="1"/>
        <v>375000</v>
      </c>
    </row>
    <row r="35" spans="1:7" x14ac:dyDescent="0.45">
      <c r="A35" s="72">
        <v>4</v>
      </c>
      <c r="B35" s="81" t="s">
        <v>119</v>
      </c>
      <c r="C35" s="78">
        <v>8</v>
      </c>
      <c r="D35" s="78" t="s">
        <v>23</v>
      </c>
      <c r="E35" s="78" t="s">
        <v>25</v>
      </c>
      <c r="F35" s="36">
        <v>12000</v>
      </c>
      <c r="G35" s="36">
        <f t="shared" si="1"/>
        <v>96000</v>
      </c>
    </row>
    <row r="36" spans="1:7" x14ac:dyDescent="0.45">
      <c r="A36" s="72">
        <v>5</v>
      </c>
      <c r="B36" s="81" t="s">
        <v>120</v>
      </c>
      <c r="C36" s="78">
        <v>6</v>
      </c>
      <c r="D36" s="78" t="s">
        <v>23</v>
      </c>
      <c r="E36" s="78" t="s">
        <v>71</v>
      </c>
      <c r="F36" s="36">
        <v>12000</v>
      </c>
      <c r="G36" s="36">
        <f t="shared" si="1"/>
        <v>72000</v>
      </c>
    </row>
    <row r="37" spans="1:7" x14ac:dyDescent="0.45">
      <c r="A37" s="72">
        <v>6</v>
      </c>
      <c r="B37" s="81" t="s">
        <v>74</v>
      </c>
      <c r="C37" s="78">
        <v>15</v>
      </c>
      <c r="D37" s="78" t="s">
        <v>116</v>
      </c>
      <c r="E37" s="78" t="s">
        <v>71</v>
      </c>
      <c r="F37" s="36">
        <v>30000</v>
      </c>
      <c r="G37" s="36">
        <f t="shared" si="1"/>
        <v>450000</v>
      </c>
    </row>
    <row r="38" spans="1:7" x14ac:dyDescent="0.45">
      <c r="A38" s="72">
        <v>7</v>
      </c>
      <c r="B38" s="81" t="s">
        <v>121</v>
      </c>
      <c r="C38" s="78">
        <v>1</v>
      </c>
      <c r="D38" s="78" t="s">
        <v>58</v>
      </c>
      <c r="E38" s="78" t="s">
        <v>25</v>
      </c>
      <c r="F38" s="36">
        <v>1250000</v>
      </c>
      <c r="G38" s="36">
        <f t="shared" si="1"/>
        <v>1250000</v>
      </c>
    </row>
    <row r="39" spans="1:7" x14ac:dyDescent="0.45">
      <c r="A39" s="62"/>
      <c r="B39" s="87"/>
      <c r="C39" s="88"/>
      <c r="D39" s="88"/>
      <c r="E39" s="88"/>
      <c r="F39" s="43"/>
      <c r="G39" s="44"/>
    </row>
    <row r="40" spans="1:7" x14ac:dyDescent="0.45">
      <c r="A40" s="89" t="s">
        <v>62</v>
      </c>
      <c r="B40" s="90" t="s">
        <v>76</v>
      </c>
      <c r="C40" s="91">
        <v>1</v>
      </c>
      <c r="D40" s="91" t="s">
        <v>16</v>
      </c>
      <c r="E40" s="91"/>
      <c r="F40" s="48">
        <v>500000</v>
      </c>
      <c r="G40" s="48">
        <f>C40*F40</f>
        <v>500000</v>
      </c>
    </row>
    <row r="41" spans="1:7" x14ac:dyDescent="0.45">
      <c r="A41" s="92"/>
      <c r="B41" s="93"/>
      <c r="C41" s="78"/>
      <c r="D41" s="78"/>
      <c r="E41" s="78"/>
      <c r="F41" s="36"/>
      <c r="G41" s="36"/>
    </row>
    <row r="42" spans="1:7" x14ac:dyDescent="0.45">
      <c r="A42" s="62"/>
      <c r="B42" s="62"/>
      <c r="C42" s="61"/>
      <c r="D42" s="61"/>
      <c r="E42" s="61"/>
      <c r="F42" s="52" t="s">
        <v>81</v>
      </c>
      <c r="G42" s="94">
        <f>G7+G12+G16+G31+G40</f>
        <v>13000000</v>
      </c>
    </row>
    <row r="43" spans="1:7" x14ac:dyDescent="0.45">
      <c r="A43" s="62"/>
      <c r="B43" s="62"/>
      <c r="C43" s="61"/>
      <c r="D43" s="61"/>
      <c r="E43" s="61"/>
      <c r="F43" s="53" t="s">
        <v>82</v>
      </c>
      <c r="G43" s="53">
        <f>G42*11%</f>
        <v>1430000</v>
      </c>
    </row>
    <row r="44" spans="1:7" x14ac:dyDescent="0.45">
      <c r="A44" s="62"/>
      <c r="B44" s="62"/>
      <c r="C44" s="61"/>
      <c r="D44" s="61"/>
      <c r="E44" s="61"/>
      <c r="F44" s="54" t="s">
        <v>83</v>
      </c>
      <c r="G44" s="54">
        <f>G42+G43</f>
        <v>14430000</v>
      </c>
    </row>
  </sheetData>
  <mergeCells count="4">
    <mergeCell ref="A1:B1"/>
    <mergeCell ref="A3:E3"/>
    <mergeCell ref="E5:G5"/>
    <mergeCell ref="C6:D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d0366d-53e0-4a55-8731-457a7b845ec5" xsi:nil="true"/>
    <lcf76f155ced4ddcb4097134ff3c332f xmlns="5bdd3644-4237-4c4e-8de6-1ac9d03bbe0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85B75C842F444CB2F40C0297DE5347" ma:contentTypeVersion="11" ma:contentTypeDescription="Create a new document." ma:contentTypeScope="" ma:versionID="3c12f7b3af47b5f84f0bbe6e3880b830">
  <xsd:schema xmlns:xsd="http://www.w3.org/2001/XMLSchema" xmlns:xs="http://www.w3.org/2001/XMLSchema" xmlns:p="http://schemas.microsoft.com/office/2006/metadata/properties" xmlns:ns2="5bdd3644-4237-4c4e-8de6-1ac9d03bbe01" xmlns:ns3="66d0366d-53e0-4a55-8731-457a7b845ec5" targetNamespace="http://schemas.microsoft.com/office/2006/metadata/properties" ma:root="true" ma:fieldsID="4882f09b67a84f793f1e0624fb70cf7e" ns2:_="" ns3:_="">
    <xsd:import namespace="5bdd3644-4237-4c4e-8de6-1ac9d03bbe01"/>
    <xsd:import namespace="66d0366d-53e0-4a55-8731-457a7b845e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dd3644-4237-4c4e-8de6-1ac9d03bb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39c6995-f766-4945-9983-687bd46322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0366d-53e0-4a55-8731-457a7b845e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6f0e2b-2997-4763-8380-ae4918d5d5fe}" ma:internalName="TaxCatchAll" ma:showField="CatchAllData" ma:web="66d0366d-53e0-4a55-8731-457a7b845e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387B99-EA9D-4FB1-8076-5C186C7942AA}">
  <ds:schemaRefs>
    <ds:schemaRef ds:uri="http://schemas.microsoft.com/office/2006/metadata/properties"/>
    <ds:schemaRef ds:uri="http://www.w3.org/2000/xmlns/"/>
    <ds:schemaRef ds:uri="66d0366d-53e0-4a55-8731-457a7b845ec5"/>
    <ds:schemaRef ds:uri="http://www.w3.org/2001/XMLSchema-instance"/>
    <ds:schemaRef ds:uri="5bdd3644-4237-4c4e-8de6-1ac9d03bbe01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14961D4-D325-4723-A059-7DB5E2FBA7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210EA3-A1DD-43F5-B50F-18A0E5E2705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bdd3644-4237-4c4e-8de6-1ac9d03bbe01"/>
    <ds:schemaRef ds:uri="66d0366d-53e0-4a55-8731-457a7b845ec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DC20</vt:lpstr>
      <vt:lpstr>DC30</vt:lpstr>
      <vt:lpstr>DC60</vt:lpstr>
      <vt:lpstr>DC120</vt:lpstr>
      <vt:lpstr>6S1P</vt:lpstr>
      <vt:lpstr>12S1P</vt:lpstr>
      <vt:lpstr>'DC120'!Print_Area</vt:lpstr>
      <vt:lpstr>'DC20'!Print_Area</vt:lpstr>
      <vt:lpstr>'DC30'!Print_Area</vt:lpstr>
      <vt:lpstr>'DC60'!Print_Area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Ade Lutfian (V-GREEN Indonesia)</dc:creator>
  <cp:keywords/>
  <dc:description/>
  <cp:lastModifiedBy>Hartono Darmawan</cp:lastModifiedBy>
  <cp:revision/>
  <dcterms:created xsi:type="dcterms:W3CDTF">2025-10-05T03:10:53Z</dcterms:created>
  <dcterms:modified xsi:type="dcterms:W3CDTF">2026-08-05T06:16:21Z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0x010100DD85B75C842F444CB2F40C0297DE5347</vt:lpwstr>
  </property>
  <property fmtid="{D5CDD505-2E9C-101B-9397-08002B2CF9AE}" pid="3" name="MediaServiceImageTags">
    <vt:lpwstr/>
  </property>
</Properties>
</file>